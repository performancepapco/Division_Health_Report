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B4D8C05-4E9D-47DE-A4F3-B582488FDDC9}" xr6:coauthVersionLast="47" xr6:coauthVersionMax="47" xr10:uidLastSave="{00000000-0000-0000-0000-000000000000}"/>
  <bookViews>
    <workbookView xWindow="-120" yWindow="-120" windowWidth="24240" windowHeight="13140" xr2:uid="{C5107C70-555A-4BCB-B6ED-3FA5AA1C5C12}"/>
  </bookViews>
  <sheets>
    <sheet name="ECR (2)" sheetId="1" r:id="rId1"/>
  </sheets>
  <definedNames>
    <definedName name="_xlnm._FilterDatabase" localSheetId="0" hidden="1">'ECR (2)'!$A$1:$AL$40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41" i="1" l="1"/>
</calcChain>
</file>

<file path=xl/sharedStrings.xml><?xml version="1.0" encoding="utf-8"?>
<sst xmlns="http://schemas.openxmlformats.org/spreadsheetml/2006/main" count="111" uniqueCount="74">
  <si>
    <t>Division</t>
  </si>
  <si>
    <t>Region</t>
  </si>
  <si>
    <t xml:space="preserve">No of Live Accounts </t>
  </si>
  <si>
    <t>(Revenue earned on Column C @Rs. 219.23)*(No.of Months)/12</t>
  </si>
  <si>
    <t>No of NSc/KVPs issued/discharged</t>
  </si>
  <si>
    <t>Revenue earned on column E @Rs.73.92</t>
  </si>
  <si>
    <t>No of Silent Accounts in the month</t>
  </si>
  <si>
    <t>Revenue earned on column G @Rs.35.61</t>
  </si>
  <si>
    <t>Total rev on sbcc
up to Apr-26</t>
  </si>
  <si>
    <t>FS (eLekha)</t>
  </si>
  <si>
    <t>GT of FS</t>
  </si>
  <si>
    <t>801401 PLI PREMIUM</t>
  </si>
  <si>
    <t>801401108 PLI Loans</t>
  </si>
  <si>
    <t>4% of PLI Premium Collected</t>
  </si>
  <si>
    <t xml:space="preserve"> PLI Revenue collected</t>
  </si>
  <si>
    <t>801402 RPLI Premium</t>
  </si>
  <si>
    <t>801402108 RPLI Loans</t>
  </si>
  <si>
    <t>12% of RPLI premium Collected</t>
  </si>
  <si>
    <t xml:space="preserve"> RPLI Revenue collected</t>
  </si>
  <si>
    <t>Total PLI/RPLI Rev.</t>
  </si>
  <si>
    <t>Parcel</t>
  </si>
  <si>
    <t>MO</t>
  </si>
  <si>
    <t>IRGB</t>
  </si>
  <si>
    <t>CCS</t>
  </si>
  <si>
    <t>Total BD Rev.</t>
  </si>
  <si>
    <t xml:space="preserve">1201 e-Lekha </t>
  </si>
  <si>
    <t>Total revenue</t>
  </si>
  <si>
    <t>3201 e-Lekha (expenditure)</t>
  </si>
  <si>
    <t>3201 Plan</t>
  </si>
  <si>
    <t>Exp. For ECR calculation</t>
  </si>
  <si>
    <t>ECR with Pension</t>
  </si>
  <si>
    <t>ECR w/o Pension</t>
  </si>
  <si>
    <t>AP GM (Finance)</t>
  </si>
  <si>
    <t>Andhra Pradesh Circle</t>
  </si>
  <si>
    <t>APCO</t>
  </si>
  <si>
    <t>Anantapur</t>
  </si>
  <si>
    <t>Kurnool</t>
  </si>
  <si>
    <t>Chittoor</t>
  </si>
  <si>
    <t>Cuddapah</t>
  </si>
  <si>
    <t>Hindupur</t>
  </si>
  <si>
    <t>Kurnool Region</t>
  </si>
  <si>
    <t>Nandyal</t>
  </si>
  <si>
    <t>Proddatur</t>
  </si>
  <si>
    <t>RMS AG</t>
  </si>
  <si>
    <t>RMS TP</t>
  </si>
  <si>
    <t>Tirupati</t>
  </si>
  <si>
    <t>PSD Vijayawada</t>
  </si>
  <si>
    <t>PSD</t>
  </si>
  <si>
    <t>Bhimavaram</t>
  </si>
  <si>
    <t>Vijayawada</t>
  </si>
  <si>
    <t>Eluru</t>
  </si>
  <si>
    <t>Gudivada</t>
  </si>
  <si>
    <t>Gudur</t>
  </si>
  <si>
    <t>Guntur</t>
  </si>
  <si>
    <t>Machilipatnam</t>
  </si>
  <si>
    <t>Markapur</t>
  </si>
  <si>
    <t>Narasaraopet</t>
  </si>
  <si>
    <t>Nellore</t>
  </si>
  <si>
    <t>Prakasam</t>
  </si>
  <si>
    <t>RMS Y</t>
  </si>
  <si>
    <t>Tadepalligudem</t>
  </si>
  <si>
    <t>Tenali</t>
  </si>
  <si>
    <t>Vijayawada Region</t>
  </si>
  <si>
    <t>Amalapuram</t>
  </si>
  <si>
    <t>Visakhapatnam</t>
  </si>
  <si>
    <t>Anakapalle</t>
  </si>
  <si>
    <t>Kakinada</t>
  </si>
  <si>
    <t>Parvathipuram</t>
  </si>
  <si>
    <t>Rajahmundry</t>
  </si>
  <si>
    <t>RMS V</t>
  </si>
  <si>
    <t>Srikakulam</t>
  </si>
  <si>
    <t>Visakhapatnam Region</t>
  </si>
  <si>
    <t>Vizianagaram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</si>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</sst>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rgb="FFE0ECF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CFC"/>
        <bgColor rgb="FFE0ECFC"/>
      </patternFill>
    </fill>
    <fill>
      <patternFill patternType="solid">
        <fgColor indexed="13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 readingOrder="1"/>
    </xf>
    <xf numFmtId="1" fontId="3" fillId="3" borderId="1" xfId="1" applyNumberFormat="1" applyFont="1" applyFill="1" applyBorder="1" applyAlignment="1">
      <alignment horizontal="center" vertical="center" wrapText="1"/>
    </xf>
    <xf numFmtId="1" fontId="3" fillId="4" borderId="1" xfId="1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1" fontId="5" fillId="0" borderId="0" xfId="0" applyNumberFormat="1" applyFont="1" applyAlignment="1">
      <alignment wrapText="1"/>
    </xf>
    <xf numFmtId="0" fontId="7" fillId="6" borderId="1" xfId="2" applyFont="1" applyFill="1" applyBorder="1" applyAlignment="1">
      <alignment vertical="top" wrapText="1" readingOrder="1"/>
    </xf>
    <xf numFmtId="164" fontId="5" fillId="0" borderId="1" xfId="1" applyNumberFormat="1" applyFont="1" applyBorder="1"/>
    <xf numFmtId="43" fontId="5" fillId="0" borderId="1" xfId="1" applyFont="1" applyBorder="1"/>
    <xf numFmtId="0" fontId="5" fillId="0" borderId="0" xfId="0" applyFont="1"/>
    <xf numFmtId="164" fontId="5" fillId="0" borderId="0" xfId="1" applyNumberFormat="1" applyFont="1"/>
    <xf numFmtId="43" fontId="8" fillId="0" borderId="0" xfId="1" applyFont="1"/>
    <xf numFmtId="0" fontId="9" fillId="7" borderId="2" xfId="0" applyFont="1" applyFill="1" applyBorder="1" applyAlignment="1" applyProtection="1">
      <alignment horizontal="right" vertical="top" wrapText="1" readingOrder="1"/>
      <protection locked="0"/>
    </xf>
    <xf numFmtId="43" fontId="5" fillId="0" borderId="0" xfId="1" applyFont="1"/>
    <xf numFmtId="0" fontId="4" fillId="0" borderId="0" xfId="0" applyFont="1"/>
    <xf numFmtId="164" fontId="4" fillId="0" borderId="0" xfId="1" applyNumberFormat="1" applyFont="1"/>
    <xf numFmtId="164" fontId="4" fillId="0" borderId="1" xfId="1" applyNumberFormat="1" applyFont="1" applyBorder="1"/>
  </cellXfs>
  <cellStyles count="3">
    <cellStyle name="Comma" xfId="1" builtinId="3"/>
    <cellStyle name="Normal" xfId="0" builtinId="0"/>
    <cellStyle name="Normal 14" xfId="2" xr:uid="{A5564DC5-FF7E-4E40-839F-6A53A79D45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4694-73A5-4066-90E8-9E7907B54C89}">
  <sheetPr>
    <tabColor rgb="FFFF0000"/>
  </sheetPr>
  <dimension ref="A1:AL43"/>
  <sheetViews>
    <sheetView tabSelected="1" topLeftCell="Z1" zoomScaleNormal="100" workbookViewId="0">
      <pane ySplit="1" topLeftCell="A21" activePane="bottomLeft" state="frozen"/>
      <selection pane="bottomLeft" activeCell="AJ41" sqref="AJ41"/>
    </sheetView>
  </sheetViews>
  <sheetFormatPr defaultColWidth="27" defaultRowHeight="12.75" x14ac:dyDescent="0.2"/>
  <cols>
    <col min="1" max="1" width="18.28515625" style="9" bestFit="1" customWidth="1"/>
    <col min="2" max="2" width="13.7109375" style="9" bestFit="1" customWidth="1"/>
    <col min="3" max="3" width="13.140625" style="10" bestFit="1" customWidth="1"/>
    <col min="4" max="4" width="17.5703125" style="10" bestFit="1" customWidth="1"/>
    <col min="5" max="5" width="10" style="10" bestFit="1" customWidth="1"/>
    <col min="6" max="6" width="11.28515625" style="10" bestFit="1" customWidth="1"/>
    <col min="7" max="7" width="13.140625" style="10" bestFit="1" customWidth="1"/>
    <col min="8" max="8" width="14.28515625" style="10" bestFit="1" customWidth="1"/>
    <col min="9" max="9" width="16.28515625" style="10" bestFit="1" customWidth="1"/>
    <col min="10" max="12" width="13.7109375" style="10" bestFit="1" customWidth="1"/>
    <col min="13" max="13" width="11" style="10" bestFit="1" customWidth="1"/>
    <col min="14" max="14" width="14.28515625" style="10" bestFit="1" customWidth="1"/>
    <col min="15" max="15" width="20.42578125" style="10" bestFit="1" customWidth="1"/>
    <col min="16" max="16" width="20.28515625" style="10" bestFit="1" customWidth="1"/>
    <col min="17" max="17" width="13.140625" style="10" bestFit="1" customWidth="1"/>
    <col min="18" max="18" width="16" style="10" bestFit="1" customWidth="1"/>
    <col min="19" max="19" width="13.140625" style="10" bestFit="1" customWidth="1"/>
    <col min="20" max="20" width="20.7109375" style="10" bestFit="1" customWidth="1"/>
    <col min="21" max="21" width="21.5703125" style="10" bestFit="1" customWidth="1"/>
    <col min="22" max="22" width="13.140625" style="10" bestFit="1" customWidth="1"/>
    <col min="23" max="23" width="16" style="10" bestFit="1" customWidth="1"/>
    <col min="24" max="24" width="13.42578125" style="10" bestFit="1" customWidth="1"/>
    <col min="25" max="25" width="17.7109375" style="10" bestFit="1" customWidth="1"/>
    <col min="26" max="27" width="13.140625" style="10" bestFit="1" customWidth="1"/>
    <col min="28" max="29" width="11.28515625" style="10" bestFit="1" customWidth="1"/>
    <col min="30" max="31" width="13.140625" style="10" bestFit="1" customWidth="1"/>
    <col min="32" max="33" width="16" style="10" bestFit="1" customWidth="1"/>
    <col min="34" max="34" width="10" style="10" bestFit="1" customWidth="1"/>
    <col min="35" max="35" width="16" style="10" bestFit="1" customWidth="1"/>
    <col min="36" max="36" width="6.85546875" style="13" bestFit="1" customWidth="1"/>
    <col min="37" max="37" width="14.28515625" style="10" bestFit="1" customWidth="1"/>
    <col min="38" max="38" width="6.85546875" style="13" bestFit="1" customWidth="1"/>
    <col min="39" max="16384" width="27" style="9"/>
  </cols>
  <sheetData>
    <row r="1" spans="1:38" s="5" customFormat="1" ht="51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>
        <v>12010020025</v>
      </c>
      <c r="K1" s="4">
        <v>12010020026</v>
      </c>
      <c r="L1" s="4">
        <v>12010020001</v>
      </c>
      <c r="M1" s="3" t="s">
        <v>9</v>
      </c>
      <c r="N1" s="3" t="s">
        <v>10</v>
      </c>
      <c r="O1" s="2" t="s">
        <v>11</v>
      </c>
      <c r="P1" s="2" t="s">
        <v>12</v>
      </c>
      <c r="Q1" s="2" t="s">
        <v>13</v>
      </c>
      <c r="R1" s="3">
        <v>3201031010801</v>
      </c>
      <c r="S1" s="3" t="s">
        <v>14</v>
      </c>
      <c r="T1" s="2" t="s">
        <v>15</v>
      </c>
      <c r="U1" s="2" t="s">
        <v>16</v>
      </c>
      <c r="V1" s="2" t="s">
        <v>17</v>
      </c>
      <c r="W1" s="3">
        <v>3201031010901</v>
      </c>
      <c r="X1" s="3" t="s">
        <v>18</v>
      </c>
      <c r="Y1" s="3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3" t="s">
        <v>24</v>
      </c>
      <c r="AE1" s="3" t="s">
        <v>25</v>
      </c>
      <c r="AF1" s="3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3">
        <v>320107</v>
      </c>
      <c r="AL1" s="2" t="s">
        <v>31</v>
      </c>
    </row>
    <row r="2" spans="1:38" x14ac:dyDescent="0.2">
      <c r="A2" s="6" t="s">
        <v>32</v>
      </c>
      <c r="B2" s="6" t="s">
        <v>32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278276258</v>
      </c>
      <c r="P2" s="7">
        <v>0</v>
      </c>
      <c r="Q2" s="7">
        <v>11131050.32</v>
      </c>
      <c r="R2" s="7">
        <v>0</v>
      </c>
      <c r="S2" s="7">
        <v>11131050.32</v>
      </c>
      <c r="T2" s="7">
        <v>52845797</v>
      </c>
      <c r="U2" s="7">
        <v>0</v>
      </c>
      <c r="V2" s="7">
        <v>6341495.6399999997</v>
      </c>
      <c r="W2" s="7">
        <v>0</v>
      </c>
      <c r="X2" s="7">
        <v>6341495.6399999997</v>
      </c>
      <c r="Y2" s="7">
        <v>17472545.960000001</v>
      </c>
      <c r="Z2" s="7">
        <v>0</v>
      </c>
      <c r="AA2" s="7">
        <v>0</v>
      </c>
      <c r="AB2" s="7">
        <v>0</v>
      </c>
      <c r="AC2" s="7">
        <v>1470</v>
      </c>
      <c r="AD2" s="7">
        <v>1470</v>
      </c>
      <c r="AE2" s="7">
        <v>1470</v>
      </c>
      <c r="AF2" s="7">
        <v>17474015.960000001</v>
      </c>
      <c r="AG2" s="7">
        <v>59809157</v>
      </c>
      <c r="AH2" s="7">
        <v>0</v>
      </c>
      <c r="AI2" s="7">
        <v>59809157</v>
      </c>
      <c r="AJ2" s="8">
        <v>0.29216288669643015</v>
      </c>
      <c r="AK2" s="7">
        <v>33229800</v>
      </c>
      <c r="AL2" s="8">
        <v>0.65742809203397967</v>
      </c>
    </row>
    <row r="3" spans="1:38" x14ac:dyDescent="0.2">
      <c r="A3" s="6" t="s">
        <v>33</v>
      </c>
      <c r="B3" s="6" t="s">
        <v>34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586088</v>
      </c>
      <c r="P3" s="7">
        <v>0</v>
      </c>
      <c r="Q3" s="7">
        <v>23443.52</v>
      </c>
      <c r="R3" s="7">
        <v>835076</v>
      </c>
      <c r="S3" s="7">
        <v>858519.52</v>
      </c>
      <c r="T3" s="7">
        <v>0</v>
      </c>
      <c r="U3" s="7">
        <v>0</v>
      </c>
      <c r="V3" s="7">
        <v>0</v>
      </c>
      <c r="W3" s="7">
        <v>38940</v>
      </c>
      <c r="X3" s="7">
        <v>38940</v>
      </c>
      <c r="Y3" s="7">
        <v>897459.52</v>
      </c>
      <c r="Z3" s="7">
        <v>0</v>
      </c>
      <c r="AA3" s="7">
        <v>0</v>
      </c>
      <c r="AB3" s="7">
        <v>0</v>
      </c>
      <c r="AC3" s="7">
        <v>23130</v>
      </c>
      <c r="AD3" s="7">
        <v>23130</v>
      </c>
      <c r="AE3" s="7">
        <v>23130</v>
      </c>
      <c r="AF3" s="7">
        <v>920589.52</v>
      </c>
      <c r="AG3" s="7">
        <v>22016514</v>
      </c>
      <c r="AH3" s="7">
        <v>0</v>
      </c>
      <c r="AI3" s="7">
        <v>22016514</v>
      </c>
      <c r="AJ3" s="8">
        <v>4.1813591379634397E-2</v>
      </c>
      <c r="AK3" s="7">
        <v>4281441</v>
      </c>
      <c r="AL3" s="8">
        <v>5.1907850618940224E-2</v>
      </c>
    </row>
    <row r="4" spans="1:38" x14ac:dyDescent="0.2">
      <c r="A4" s="6" t="s">
        <v>35</v>
      </c>
      <c r="B4" s="6" t="s">
        <v>36</v>
      </c>
      <c r="C4" s="7">
        <v>818459</v>
      </c>
      <c r="D4" s="7">
        <v>14952563.880833333</v>
      </c>
      <c r="E4" s="7">
        <v>688</v>
      </c>
      <c r="F4" s="7">
        <v>50856.959999999999</v>
      </c>
      <c r="G4" s="7">
        <v>514101</v>
      </c>
      <c r="H4" s="7">
        <v>18307136.609999999</v>
      </c>
      <c r="I4" s="7">
        <v>33310557.450833336</v>
      </c>
      <c r="J4" s="7">
        <v>480</v>
      </c>
      <c r="K4" s="7">
        <v>828</v>
      </c>
      <c r="L4" s="7">
        <v>0</v>
      </c>
      <c r="M4" s="7">
        <v>1308</v>
      </c>
      <c r="N4" s="7">
        <v>33311865.450833336</v>
      </c>
      <c r="O4" s="7">
        <v>22362926</v>
      </c>
      <c r="P4" s="7">
        <v>2275109</v>
      </c>
      <c r="Q4" s="7">
        <v>803512.68</v>
      </c>
      <c r="R4" s="7">
        <v>749496</v>
      </c>
      <c r="S4" s="7">
        <v>1553008.6800000002</v>
      </c>
      <c r="T4" s="7">
        <v>18344258</v>
      </c>
      <c r="U4" s="7">
        <v>5000</v>
      </c>
      <c r="V4" s="7">
        <v>2200710.96</v>
      </c>
      <c r="W4" s="7">
        <v>0</v>
      </c>
      <c r="X4" s="7">
        <v>2200710.96</v>
      </c>
      <c r="Y4" s="7">
        <v>3753719.64</v>
      </c>
      <c r="Z4" s="7">
        <v>464639</v>
      </c>
      <c r="AA4" s="7">
        <v>1041357</v>
      </c>
      <c r="AB4" s="7">
        <v>36025</v>
      </c>
      <c r="AC4" s="7">
        <v>134494</v>
      </c>
      <c r="AD4" s="7">
        <v>1676515</v>
      </c>
      <c r="AE4" s="7">
        <v>1677823</v>
      </c>
      <c r="AF4" s="7">
        <v>38742100.090833336</v>
      </c>
      <c r="AG4" s="7">
        <v>112850421</v>
      </c>
      <c r="AH4" s="7">
        <v>0</v>
      </c>
      <c r="AI4" s="7">
        <v>112850421</v>
      </c>
      <c r="AJ4" s="8">
        <v>0.34330487868391146</v>
      </c>
      <c r="AK4" s="7">
        <v>34954144</v>
      </c>
      <c r="AL4" s="8">
        <v>0.4973549646131783</v>
      </c>
    </row>
    <row r="5" spans="1:38" x14ac:dyDescent="0.2">
      <c r="A5" s="6" t="s">
        <v>37</v>
      </c>
      <c r="B5" s="6" t="s">
        <v>36</v>
      </c>
      <c r="C5" s="7">
        <v>1049833</v>
      </c>
      <c r="D5" s="7">
        <v>19179574.049166668</v>
      </c>
      <c r="E5" s="7">
        <v>443</v>
      </c>
      <c r="F5" s="7">
        <v>32746.560000000001</v>
      </c>
      <c r="G5" s="7">
        <v>392951</v>
      </c>
      <c r="H5" s="7">
        <v>13992985.109999999</v>
      </c>
      <c r="I5" s="7">
        <v>33205305.719166666</v>
      </c>
      <c r="J5" s="7">
        <v>952</v>
      </c>
      <c r="K5" s="7">
        <v>1837</v>
      </c>
      <c r="L5" s="7">
        <v>0</v>
      </c>
      <c r="M5" s="7">
        <v>2789</v>
      </c>
      <c r="N5" s="7">
        <v>33208094.719166666</v>
      </c>
      <c r="O5" s="7">
        <v>19606471</v>
      </c>
      <c r="P5" s="7">
        <v>897622</v>
      </c>
      <c r="Q5" s="7">
        <v>748353.96</v>
      </c>
      <c r="R5" s="7">
        <v>989372</v>
      </c>
      <c r="S5" s="7">
        <v>1737725.96</v>
      </c>
      <c r="T5" s="7">
        <v>23069350</v>
      </c>
      <c r="U5" s="7">
        <v>584778</v>
      </c>
      <c r="V5" s="7">
        <v>2698148.64</v>
      </c>
      <c r="W5" s="7">
        <v>0</v>
      </c>
      <c r="X5" s="7">
        <v>2698148.64</v>
      </c>
      <c r="Y5" s="7">
        <v>4435874.5999999996</v>
      </c>
      <c r="Z5" s="7">
        <v>775150</v>
      </c>
      <c r="AA5" s="7">
        <v>1038880</v>
      </c>
      <c r="AB5" s="7">
        <v>46730</v>
      </c>
      <c r="AC5" s="7">
        <v>57692</v>
      </c>
      <c r="AD5" s="7">
        <v>1918452</v>
      </c>
      <c r="AE5" s="7">
        <v>1921241</v>
      </c>
      <c r="AF5" s="7">
        <v>39562421.319166668</v>
      </c>
      <c r="AG5" s="7">
        <v>84260951</v>
      </c>
      <c r="AH5" s="7">
        <v>0</v>
      </c>
      <c r="AI5" s="7">
        <v>84260951</v>
      </c>
      <c r="AJ5" s="8">
        <v>0.46952260625644576</v>
      </c>
      <c r="AK5" s="7">
        <v>19192434</v>
      </c>
      <c r="AL5" s="8">
        <v>0.6080117258422636</v>
      </c>
    </row>
    <row r="6" spans="1:38" x14ac:dyDescent="0.2">
      <c r="A6" s="6" t="s">
        <v>38</v>
      </c>
      <c r="B6" s="6" t="s">
        <v>36</v>
      </c>
      <c r="C6" s="7">
        <v>834713</v>
      </c>
      <c r="D6" s="7">
        <v>15249510.915833332</v>
      </c>
      <c r="E6" s="7">
        <v>471</v>
      </c>
      <c r="F6" s="7">
        <v>34816.32</v>
      </c>
      <c r="G6" s="7">
        <v>368107</v>
      </c>
      <c r="H6" s="7">
        <v>13108290.27</v>
      </c>
      <c r="I6" s="7">
        <v>28392617.505833331</v>
      </c>
      <c r="J6" s="7">
        <v>157</v>
      </c>
      <c r="K6" s="7">
        <v>283</v>
      </c>
      <c r="L6" s="7">
        <v>0</v>
      </c>
      <c r="M6" s="7">
        <v>440</v>
      </c>
      <c r="N6" s="7">
        <v>28393057.505833331</v>
      </c>
      <c r="O6" s="7">
        <v>25470592</v>
      </c>
      <c r="P6" s="7">
        <v>4548286</v>
      </c>
      <c r="Q6" s="7">
        <v>836892.24</v>
      </c>
      <c r="R6" s="7">
        <v>519862</v>
      </c>
      <c r="S6" s="7">
        <v>1356754.24</v>
      </c>
      <c r="T6" s="7">
        <v>35919063</v>
      </c>
      <c r="U6" s="7">
        <v>1741518</v>
      </c>
      <c r="V6" s="7">
        <v>4101305.4</v>
      </c>
      <c r="W6" s="7">
        <v>0</v>
      </c>
      <c r="X6" s="7">
        <v>4101305.4</v>
      </c>
      <c r="Y6" s="7">
        <v>5458059.6399999997</v>
      </c>
      <c r="Z6" s="7">
        <v>677755</v>
      </c>
      <c r="AA6" s="7">
        <v>1022037</v>
      </c>
      <c r="AB6" s="7">
        <v>47484</v>
      </c>
      <c r="AC6" s="7">
        <v>204858</v>
      </c>
      <c r="AD6" s="7">
        <v>1952134</v>
      </c>
      <c r="AE6" s="7">
        <v>1952574</v>
      </c>
      <c r="AF6" s="7">
        <v>35803251.145833328</v>
      </c>
      <c r="AG6" s="7">
        <v>69473419</v>
      </c>
      <c r="AH6" s="7">
        <v>0</v>
      </c>
      <c r="AI6" s="7">
        <v>69473419</v>
      </c>
      <c r="AJ6" s="8">
        <v>0.51535179441554946</v>
      </c>
      <c r="AK6" s="7">
        <v>17519052</v>
      </c>
      <c r="AL6" s="8">
        <v>0.68912881078569066</v>
      </c>
    </row>
    <row r="7" spans="1:38" x14ac:dyDescent="0.2">
      <c r="A7" s="6" t="s">
        <v>39</v>
      </c>
      <c r="B7" s="6" t="s">
        <v>36</v>
      </c>
      <c r="C7" s="7">
        <v>796265</v>
      </c>
      <c r="D7" s="7">
        <v>14547097.995833332</v>
      </c>
      <c r="E7" s="7">
        <v>375</v>
      </c>
      <c r="F7" s="7">
        <v>27720</v>
      </c>
      <c r="G7" s="7">
        <v>418310</v>
      </c>
      <c r="H7" s="7">
        <v>14896019.1</v>
      </c>
      <c r="I7" s="7">
        <v>29470837.095833331</v>
      </c>
      <c r="J7" s="7">
        <v>764</v>
      </c>
      <c r="K7" s="7">
        <v>2718</v>
      </c>
      <c r="L7" s="7">
        <v>113</v>
      </c>
      <c r="M7" s="7">
        <v>3595</v>
      </c>
      <c r="N7" s="7">
        <v>29474432.095833331</v>
      </c>
      <c r="O7" s="7">
        <v>14165133</v>
      </c>
      <c r="P7" s="7">
        <v>1285784</v>
      </c>
      <c r="Q7" s="7">
        <v>515173.96</v>
      </c>
      <c r="R7" s="7">
        <v>777512</v>
      </c>
      <c r="S7" s="7">
        <v>1292685.96</v>
      </c>
      <c r="T7" s="7">
        <v>19064481</v>
      </c>
      <c r="U7" s="7">
        <v>422140</v>
      </c>
      <c r="V7" s="7">
        <v>2237080.92</v>
      </c>
      <c r="W7" s="7">
        <v>0</v>
      </c>
      <c r="X7" s="7">
        <v>2237080.92</v>
      </c>
      <c r="Y7" s="7">
        <v>3529766.88</v>
      </c>
      <c r="Z7" s="7">
        <v>448301</v>
      </c>
      <c r="AA7" s="7">
        <v>725961</v>
      </c>
      <c r="AB7" s="7">
        <v>152010</v>
      </c>
      <c r="AC7" s="7">
        <v>213804</v>
      </c>
      <c r="AD7" s="7">
        <v>1540076</v>
      </c>
      <c r="AE7" s="7">
        <v>1543671</v>
      </c>
      <c r="AF7" s="7">
        <v>34544274.975833334</v>
      </c>
      <c r="AG7" s="7">
        <v>74566715</v>
      </c>
      <c r="AH7" s="7">
        <v>0</v>
      </c>
      <c r="AI7" s="7">
        <v>74566715</v>
      </c>
      <c r="AJ7" s="8">
        <v>0.4632666864274943</v>
      </c>
      <c r="AK7" s="7">
        <v>12522043</v>
      </c>
      <c r="AL7" s="8">
        <v>0.55676456756566195</v>
      </c>
    </row>
    <row r="8" spans="1:38" x14ac:dyDescent="0.2">
      <c r="A8" s="6" t="s">
        <v>36</v>
      </c>
      <c r="B8" s="6" t="s">
        <v>36</v>
      </c>
      <c r="C8" s="7">
        <v>1039787</v>
      </c>
      <c r="D8" s="7">
        <v>18996042.000833333</v>
      </c>
      <c r="E8" s="7">
        <v>669</v>
      </c>
      <c r="F8" s="7">
        <v>49452.480000000003</v>
      </c>
      <c r="G8" s="7">
        <v>513866</v>
      </c>
      <c r="H8" s="7">
        <v>18298768.259999998</v>
      </c>
      <c r="I8" s="7">
        <v>37344262.740833327</v>
      </c>
      <c r="J8" s="7">
        <v>1144</v>
      </c>
      <c r="K8" s="7">
        <v>822</v>
      </c>
      <c r="L8" s="7">
        <v>0</v>
      </c>
      <c r="M8" s="7">
        <v>1966</v>
      </c>
      <c r="N8" s="7">
        <v>37346228.740833327</v>
      </c>
      <c r="O8" s="7">
        <v>25294638</v>
      </c>
      <c r="P8" s="7">
        <v>2708056</v>
      </c>
      <c r="Q8" s="7">
        <v>903463.28</v>
      </c>
      <c r="R8" s="7">
        <v>1123679</v>
      </c>
      <c r="S8" s="7">
        <v>2027142.28</v>
      </c>
      <c r="T8" s="7">
        <v>20395611</v>
      </c>
      <c r="U8" s="7">
        <v>303252</v>
      </c>
      <c r="V8" s="7">
        <v>2411083.08</v>
      </c>
      <c r="W8" s="7">
        <v>0</v>
      </c>
      <c r="X8" s="7">
        <v>2411083.08</v>
      </c>
      <c r="Y8" s="7">
        <v>4438225.3600000003</v>
      </c>
      <c r="Z8" s="7">
        <v>611230</v>
      </c>
      <c r="AA8" s="7">
        <v>1287850</v>
      </c>
      <c r="AB8" s="7">
        <v>33695</v>
      </c>
      <c r="AC8" s="7">
        <v>119644</v>
      </c>
      <c r="AD8" s="7">
        <v>2052419</v>
      </c>
      <c r="AE8" s="7">
        <v>2054385</v>
      </c>
      <c r="AF8" s="7">
        <v>43836873.100833327</v>
      </c>
      <c r="AG8" s="7">
        <v>105967965</v>
      </c>
      <c r="AH8" s="7">
        <v>0</v>
      </c>
      <c r="AI8" s="7">
        <v>105967965</v>
      </c>
      <c r="AJ8" s="8">
        <v>0.41368042786169695</v>
      </c>
      <c r="AK8" s="7">
        <v>30943778</v>
      </c>
      <c r="AL8" s="8">
        <v>0.58430320745539466</v>
      </c>
    </row>
    <row r="9" spans="1:38" x14ac:dyDescent="0.2">
      <c r="A9" s="6" t="s">
        <v>40</v>
      </c>
      <c r="B9" s="6" t="s">
        <v>36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88388</v>
      </c>
      <c r="P9" s="7">
        <v>0</v>
      </c>
      <c r="Q9" s="7">
        <v>3535.52</v>
      </c>
      <c r="R9" s="7">
        <v>369806</v>
      </c>
      <c r="S9" s="7">
        <v>373341.52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373341.52</v>
      </c>
      <c r="Z9" s="7">
        <v>0</v>
      </c>
      <c r="AA9" s="7">
        <v>0</v>
      </c>
      <c r="AB9" s="7">
        <v>0</v>
      </c>
      <c r="AC9" s="7">
        <v>2452</v>
      </c>
      <c r="AD9" s="7">
        <v>2452</v>
      </c>
      <c r="AE9" s="7">
        <v>2452</v>
      </c>
      <c r="AF9" s="7">
        <v>375793.52</v>
      </c>
      <c r="AG9" s="7">
        <v>5111864</v>
      </c>
      <c r="AH9" s="7">
        <v>0</v>
      </c>
      <c r="AI9" s="7">
        <v>5111864</v>
      </c>
      <c r="AJ9" s="8">
        <v>7.3513990200052268E-2</v>
      </c>
      <c r="AK9" s="7">
        <v>256281</v>
      </c>
      <c r="AL9" s="8">
        <v>7.7394109008125295E-2</v>
      </c>
    </row>
    <row r="10" spans="1:38" x14ac:dyDescent="0.2">
      <c r="A10" s="6" t="s">
        <v>41</v>
      </c>
      <c r="B10" s="6" t="s">
        <v>36</v>
      </c>
      <c r="C10" s="7">
        <v>698261</v>
      </c>
      <c r="D10" s="7">
        <v>12756646.585833333</v>
      </c>
      <c r="E10" s="7">
        <v>605</v>
      </c>
      <c r="F10" s="7">
        <v>44721.599999999999</v>
      </c>
      <c r="G10" s="7">
        <v>298732</v>
      </c>
      <c r="H10" s="7">
        <v>10637846.52</v>
      </c>
      <c r="I10" s="7">
        <v>23439214.705833331</v>
      </c>
      <c r="J10" s="7">
        <v>309</v>
      </c>
      <c r="K10" s="7">
        <v>835</v>
      </c>
      <c r="L10" s="7">
        <v>0</v>
      </c>
      <c r="M10" s="7">
        <v>1144</v>
      </c>
      <c r="N10" s="7">
        <v>23440358.705833331</v>
      </c>
      <c r="O10" s="7">
        <v>14250146</v>
      </c>
      <c r="P10" s="7">
        <v>501388</v>
      </c>
      <c r="Q10" s="7">
        <v>549950.32000000007</v>
      </c>
      <c r="R10" s="7">
        <v>569600</v>
      </c>
      <c r="S10" s="7">
        <v>1119550.32</v>
      </c>
      <c r="T10" s="7">
        <v>17585283</v>
      </c>
      <c r="U10" s="7">
        <v>58988</v>
      </c>
      <c r="V10" s="7">
        <v>2103155.4</v>
      </c>
      <c r="W10" s="7">
        <v>0</v>
      </c>
      <c r="X10" s="7">
        <v>2103155.4</v>
      </c>
      <c r="Y10" s="7">
        <v>3222705.7199999997</v>
      </c>
      <c r="Z10" s="7">
        <v>291475</v>
      </c>
      <c r="AA10" s="7">
        <v>789468</v>
      </c>
      <c r="AB10" s="7">
        <v>2997</v>
      </c>
      <c r="AC10" s="7">
        <v>33883</v>
      </c>
      <c r="AD10" s="7">
        <v>1117823</v>
      </c>
      <c r="AE10" s="7">
        <v>1118967</v>
      </c>
      <c r="AF10" s="7">
        <v>27780887.42583333</v>
      </c>
      <c r="AG10" s="7">
        <v>62797398</v>
      </c>
      <c r="AH10" s="7">
        <v>0</v>
      </c>
      <c r="AI10" s="7">
        <v>62797398</v>
      </c>
      <c r="AJ10" s="8">
        <v>0.44238914844582145</v>
      </c>
      <c r="AK10" s="7">
        <v>11959542</v>
      </c>
      <c r="AL10" s="8">
        <v>0.54646064196399879</v>
      </c>
    </row>
    <row r="11" spans="1:38" x14ac:dyDescent="0.2">
      <c r="A11" s="6" t="s">
        <v>42</v>
      </c>
      <c r="B11" s="6" t="s">
        <v>36</v>
      </c>
      <c r="C11" s="7">
        <v>641643</v>
      </c>
      <c r="D11" s="7">
        <v>11722282.907499999</v>
      </c>
      <c r="E11" s="7">
        <v>581</v>
      </c>
      <c r="F11" s="7">
        <v>42947.520000000004</v>
      </c>
      <c r="G11" s="7">
        <v>292652</v>
      </c>
      <c r="H11" s="7">
        <v>10421337.720000001</v>
      </c>
      <c r="I11" s="7">
        <v>22186568.147500001</v>
      </c>
      <c r="J11" s="7">
        <v>140</v>
      </c>
      <c r="K11" s="7">
        <v>213</v>
      </c>
      <c r="L11" s="7">
        <v>0</v>
      </c>
      <c r="M11" s="7">
        <v>353</v>
      </c>
      <c r="N11" s="7">
        <v>22186921.147500001</v>
      </c>
      <c r="O11" s="7">
        <v>16169740</v>
      </c>
      <c r="P11" s="7">
        <v>1007011</v>
      </c>
      <c r="Q11" s="7">
        <v>606509.16</v>
      </c>
      <c r="R11" s="7">
        <v>930403</v>
      </c>
      <c r="S11" s="7">
        <v>1536912.1600000001</v>
      </c>
      <c r="T11" s="7">
        <v>14267782</v>
      </c>
      <c r="U11" s="7">
        <v>0</v>
      </c>
      <c r="V11" s="7">
        <v>1712133.8399999999</v>
      </c>
      <c r="W11" s="7">
        <v>0</v>
      </c>
      <c r="X11" s="7">
        <v>1712133.8399999999</v>
      </c>
      <c r="Y11" s="7">
        <v>3249046</v>
      </c>
      <c r="Z11" s="7">
        <v>452198</v>
      </c>
      <c r="AA11" s="7">
        <v>550990</v>
      </c>
      <c r="AB11" s="7">
        <v>41200</v>
      </c>
      <c r="AC11" s="7">
        <v>36344</v>
      </c>
      <c r="AD11" s="7">
        <v>1080732</v>
      </c>
      <c r="AE11" s="7">
        <v>1081085</v>
      </c>
      <c r="AF11" s="7">
        <v>26516699.147500001</v>
      </c>
      <c r="AG11" s="7">
        <v>60485499</v>
      </c>
      <c r="AH11" s="7">
        <v>0</v>
      </c>
      <c r="AI11" s="7">
        <v>60485499</v>
      </c>
      <c r="AJ11" s="8">
        <v>0.43839762564412343</v>
      </c>
      <c r="AK11" s="7">
        <v>10757949</v>
      </c>
      <c r="AL11" s="8">
        <v>0.53323960556070027</v>
      </c>
    </row>
    <row r="12" spans="1:38" x14ac:dyDescent="0.2">
      <c r="A12" s="6" t="s">
        <v>43</v>
      </c>
      <c r="B12" s="6" t="s">
        <v>36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720208</v>
      </c>
      <c r="P12" s="7">
        <v>0</v>
      </c>
      <c r="Q12" s="7">
        <v>28808.32</v>
      </c>
      <c r="R12" s="7">
        <v>0</v>
      </c>
      <c r="S12" s="7">
        <v>28808.32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28808.32</v>
      </c>
      <c r="Z12" s="7">
        <v>89843</v>
      </c>
      <c r="AA12" s="7">
        <v>419739</v>
      </c>
      <c r="AB12" s="7">
        <v>15800</v>
      </c>
      <c r="AC12" s="7">
        <v>62714</v>
      </c>
      <c r="AD12" s="7">
        <v>588096</v>
      </c>
      <c r="AE12" s="7">
        <v>588096</v>
      </c>
      <c r="AF12" s="7">
        <v>616904.31999999995</v>
      </c>
      <c r="AG12" s="7">
        <v>31410700</v>
      </c>
      <c r="AH12" s="7">
        <v>0</v>
      </c>
      <c r="AI12" s="7">
        <v>31410700</v>
      </c>
      <c r="AJ12" s="8">
        <v>1.9639941803270857E-2</v>
      </c>
      <c r="AK12" s="7">
        <v>2708903</v>
      </c>
      <c r="AL12" s="8">
        <v>2.1493578259228853E-2</v>
      </c>
    </row>
    <row r="13" spans="1:38" x14ac:dyDescent="0.2">
      <c r="A13" s="6" t="s">
        <v>44</v>
      </c>
      <c r="B13" s="6" t="s">
        <v>36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740337</v>
      </c>
      <c r="P13" s="7">
        <v>0</v>
      </c>
      <c r="Q13" s="7">
        <v>29613.48</v>
      </c>
      <c r="R13" s="7">
        <v>0</v>
      </c>
      <c r="S13" s="7">
        <v>29613.48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29613.48</v>
      </c>
      <c r="Z13" s="7">
        <v>49271</v>
      </c>
      <c r="AA13" s="7">
        <v>405403</v>
      </c>
      <c r="AB13" s="7">
        <v>1970</v>
      </c>
      <c r="AC13" s="7">
        <v>50023</v>
      </c>
      <c r="AD13" s="7">
        <v>506667</v>
      </c>
      <c r="AE13" s="7">
        <v>506667</v>
      </c>
      <c r="AF13" s="7">
        <v>536280.48</v>
      </c>
      <c r="AG13" s="7">
        <v>25192368</v>
      </c>
      <c r="AH13" s="7">
        <v>0</v>
      </c>
      <c r="AI13" s="7">
        <v>25192368</v>
      </c>
      <c r="AJ13" s="8">
        <v>2.1287418475309666E-2</v>
      </c>
      <c r="AK13" s="7">
        <v>2038139</v>
      </c>
      <c r="AL13" s="8">
        <v>2.3161232446997047E-2</v>
      </c>
    </row>
    <row r="14" spans="1:38" x14ac:dyDescent="0.2">
      <c r="A14" s="6" t="s">
        <v>45</v>
      </c>
      <c r="B14" s="6" t="s">
        <v>36</v>
      </c>
      <c r="C14" s="7">
        <v>1044593</v>
      </c>
      <c r="D14" s="7">
        <v>19083843.615833331</v>
      </c>
      <c r="E14" s="7">
        <v>827</v>
      </c>
      <c r="F14" s="7">
        <v>61131.840000000004</v>
      </c>
      <c r="G14" s="7">
        <v>401116</v>
      </c>
      <c r="H14" s="7">
        <v>14283740.76</v>
      </c>
      <c r="I14" s="7">
        <v>33428716.215833329</v>
      </c>
      <c r="J14" s="7">
        <v>3026</v>
      </c>
      <c r="K14" s="7">
        <v>1351</v>
      </c>
      <c r="L14" s="7">
        <v>0</v>
      </c>
      <c r="M14" s="7">
        <v>4377</v>
      </c>
      <c r="N14" s="7">
        <v>33433093.215833329</v>
      </c>
      <c r="O14" s="7">
        <v>33907286</v>
      </c>
      <c r="P14" s="7">
        <v>4842307</v>
      </c>
      <c r="Q14" s="7">
        <v>1162599.1599999999</v>
      </c>
      <c r="R14" s="7">
        <v>853838</v>
      </c>
      <c r="S14" s="7">
        <v>2016437.16</v>
      </c>
      <c r="T14" s="7">
        <v>34496657</v>
      </c>
      <c r="U14" s="7">
        <v>1533794</v>
      </c>
      <c r="V14" s="7">
        <v>3955543.56</v>
      </c>
      <c r="W14" s="7">
        <v>0</v>
      </c>
      <c r="X14" s="7">
        <v>3955543.56</v>
      </c>
      <c r="Y14" s="7">
        <v>5971980.7199999997</v>
      </c>
      <c r="Z14" s="7">
        <v>1225579</v>
      </c>
      <c r="AA14" s="7">
        <v>1546548</v>
      </c>
      <c r="AB14" s="7">
        <v>249600</v>
      </c>
      <c r="AC14" s="7">
        <v>230237</v>
      </c>
      <c r="AD14" s="7">
        <v>3251964</v>
      </c>
      <c r="AE14" s="7">
        <v>3256341</v>
      </c>
      <c r="AF14" s="7">
        <v>42657037.935833327</v>
      </c>
      <c r="AG14" s="7">
        <v>116281997</v>
      </c>
      <c r="AH14" s="7">
        <v>0</v>
      </c>
      <c r="AI14" s="7">
        <v>116281997</v>
      </c>
      <c r="AJ14" s="8">
        <v>0.36684129131213089</v>
      </c>
      <c r="AK14" s="7">
        <v>36972094</v>
      </c>
      <c r="AL14" s="8">
        <v>0.53785260506286747</v>
      </c>
    </row>
    <row r="15" spans="1:38" x14ac:dyDescent="0.2">
      <c r="A15" s="6" t="s">
        <v>46</v>
      </c>
      <c r="B15" s="6" t="s">
        <v>47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140664</v>
      </c>
      <c r="P15" s="7">
        <v>0</v>
      </c>
      <c r="Q15" s="7">
        <v>5626.56</v>
      </c>
      <c r="R15" s="7">
        <v>0</v>
      </c>
      <c r="S15" s="7">
        <v>5626.56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5626.56</v>
      </c>
      <c r="Z15" s="7">
        <v>0</v>
      </c>
      <c r="AA15" s="7">
        <v>97510</v>
      </c>
      <c r="AB15" s="7">
        <v>0</v>
      </c>
      <c r="AC15" s="7">
        <v>103468</v>
      </c>
      <c r="AD15" s="7">
        <v>200978</v>
      </c>
      <c r="AE15" s="7">
        <v>200978</v>
      </c>
      <c r="AF15" s="7">
        <v>206604.56</v>
      </c>
      <c r="AG15" s="7">
        <v>6908451</v>
      </c>
      <c r="AH15" s="7">
        <v>0</v>
      </c>
      <c r="AI15" s="7">
        <v>6908451</v>
      </c>
      <c r="AJ15" s="8">
        <v>2.9906061431137023E-2</v>
      </c>
      <c r="AK15" s="7">
        <v>278204</v>
      </c>
      <c r="AL15" s="8">
        <v>3.1160914517965922E-2</v>
      </c>
    </row>
    <row r="16" spans="1:38" x14ac:dyDescent="0.2">
      <c r="A16" s="6" t="s">
        <v>48</v>
      </c>
      <c r="B16" s="6" t="s">
        <v>49</v>
      </c>
      <c r="C16" s="7">
        <v>797410</v>
      </c>
      <c r="D16" s="7">
        <v>14568016.191666665</v>
      </c>
      <c r="E16" s="7">
        <v>643</v>
      </c>
      <c r="F16" s="7">
        <v>47530.559999999998</v>
      </c>
      <c r="G16" s="7">
        <v>237649</v>
      </c>
      <c r="H16" s="7">
        <v>8462680.8900000006</v>
      </c>
      <c r="I16" s="7">
        <v>23078227.641666666</v>
      </c>
      <c r="J16" s="7">
        <v>529</v>
      </c>
      <c r="K16" s="7">
        <v>585</v>
      </c>
      <c r="L16" s="7">
        <v>0</v>
      </c>
      <c r="M16" s="7">
        <v>1114</v>
      </c>
      <c r="N16" s="7">
        <v>23079341.641666666</v>
      </c>
      <c r="O16" s="7">
        <v>18090689</v>
      </c>
      <c r="P16" s="7">
        <v>1225766</v>
      </c>
      <c r="Q16" s="7">
        <v>674596.92</v>
      </c>
      <c r="R16" s="7">
        <v>633032</v>
      </c>
      <c r="S16" s="7">
        <v>1307628.92</v>
      </c>
      <c r="T16" s="7">
        <v>27395306</v>
      </c>
      <c r="U16" s="7">
        <v>221560</v>
      </c>
      <c r="V16" s="7">
        <v>3260849.52</v>
      </c>
      <c r="W16" s="7">
        <v>0</v>
      </c>
      <c r="X16" s="7">
        <v>3260849.52</v>
      </c>
      <c r="Y16" s="7">
        <v>4568478.4399999995</v>
      </c>
      <c r="Z16" s="7">
        <v>460091</v>
      </c>
      <c r="AA16" s="7">
        <v>946596</v>
      </c>
      <c r="AB16" s="7">
        <v>31940</v>
      </c>
      <c r="AC16" s="7">
        <v>183684</v>
      </c>
      <c r="AD16" s="7">
        <v>1622311</v>
      </c>
      <c r="AE16" s="7">
        <v>1623425</v>
      </c>
      <c r="AF16" s="7">
        <v>29270131.081666663</v>
      </c>
      <c r="AG16" s="7">
        <v>78720076</v>
      </c>
      <c r="AH16" s="7">
        <v>0</v>
      </c>
      <c r="AI16" s="7">
        <v>78720076</v>
      </c>
      <c r="AJ16" s="8">
        <v>0.37182549317745406</v>
      </c>
      <c r="AK16" s="7">
        <v>20867347</v>
      </c>
      <c r="AL16" s="8">
        <v>0.50594209793744849</v>
      </c>
    </row>
    <row r="17" spans="1:38" x14ac:dyDescent="0.2">
      <c r="A17" s="6" t="s">
        <v>50</v>
      </c>
      <c r="B17" s="6" t="s">
        <v>49</v>
      </c>
      <c r="C17" s="7">
        <v>519028</v>
      </c>
      <c r="D17" s="7">
        <v>9482209.0366666671</v>
      </c>
      <c r="E17" s="7">
        <v>384</v>
      </c>
      <c r="F17" s="7">
        <v>28385.279999999999</v>
      </c>
      <c r="G17" s="7">
        <v>342476</v>
      </c>
      <c r="H17" s="7">
        <v>12195570.359999999</v>
      </c>
      <c r="I17" s="7">
        <v>21706164.676666666</v>
      </c>
      <c r="J17" s="7">
        <v>769</v>
      </c>
      <c r="K17" s="7">
        <v>968</v>
      </c>
      <c r="L17" s="7">
        <v>0</v>
      </c>
      <c r="M17" s="7">
        <v>1737</v>
      </c>
      <c r="N17" s="7">
        <v>21707901.676666666</v>
      </c>
      <c r="O17" s="7">
        <v>16402682</v>
      </c>
      <c r="P17" s="7">
        <v>2425632</v>
      </c>
      <c r="Q17" s="7">
        <v>559082</v>
      </c>
      <c r="R17" s="7">
        <v>315870</v>
      </c>
      <c r="S17" s="7">
        <v>874952</v>
      </c>
      <c r="T17" s="7">
        <v>18546542</v>
      </c>
      <c r="U17" s="7">
        <v>134558</v>
      </c>
      <c r="V17" s="7">
        <v>2209438.08</v>
      </c>
      <c r="W17" s="7">
        <v>0</v>
      </c>
      <c r="X17" s="7">
        <v>2209438.08</v>
      </c>
      <c r="Y17" s="7">
        <v>3084390.08</v>
      </c>
      <c r="Z17" s="7">
        <v>606076</v>
      </c>
      <c r="AA17" s="7">
        <v>852152</v>
      </c>
      <c r="AB17" s="7">
        <v>48533</v>
      </c>
      <c r="AC17" s="7">
        <v>354739</v>
      </c>
      <c r="AD17" s="7">
        <v>1861500</v>
      </c>
      <c r="AE17" s="7">
        <v>1863237</v>
      </c>
      <c r="AF17" s="7">
        <v>26653791.756666668</v>
      </c>
      <c r="AG17" s="7">
        <v>55031862</v>
      </c>
      <c r="AH17" s="7">
        <v>0</v>
      </c>
      <c r="AI17" s="7">
        <v>55031862</v>
      </c>
      <c r="AJ17" s="8">
        <v>0.48433381659277069</v>
      </c>
      <c r="AK17" s="7">
        <v>15507833</v>
      </c>
      <c r="AL17" s="8">
        <v>0.67436929966493719</v>
      </c>
    </row>
    <row r="18" spans="1:38" x14ac:dyDescent="0.2">
      <c r="A18" s="6" t="s">
        <v>51</v>
      </c>
      <c r="B18" s="6" t="s">
        <v>49</v>
      </c>
      <c r="C18" s="7">
        <v>553220</v>
      </c>
      <c r="D18" s="7">
        <v>10106868.383333333</v>
      </c>
      <c r="E18" s="7">
        <v>195</v>
      </c>
      <c r="F18" s="7">
        <v>14414.4</v>
      </c>
      <c r="G18" s="7">
        <v>198517</v>
      </c>
      <c r="H18" s="7">
        <v>7069190.3700000001</v>
      </c>
      <c r="I18" s="7">
        <v>17190473.153333332</v>
      </c>
      <c r="J18" s="7">
        <v>352</v>
      </c>
      <c r="K18" s="7">
        <v>252</v>
      </c>
      <c r="L18" s="7">
        <v>0</v>
      </c>
      <c r="M18" s="7">
        <v>604</v>
      </c>
      <c r="N18" s="7">
        <v>17191077.153333332</v>
      </c>
      <c r="O18" s="7">
        <v>9147983</v>
      </c>
      <c r="P18" s="7">
        <v>545129</v>
      </c>
      <c r="Q18" s="7">
        <v>344114.16000000003</v>
      </c>
      <c r="R18" s="7">
        <v>417144</v>
      </c>
      <c r="S18" s="7">
        <v>761258.16</v>
      </c>
      <c r="T18" s="7">
        <v>25583177</v>
      </c>
      <c r="U18" s="7">
        <v>24310</v>
      </c>
      <c r="V18" s="7">
        <v>3067064.04</v>
      </c>
      <c r="W18" s="7">
        <v>0</v>
      </c>
      <c r="X18" s="7">
        <v>3067064.04</v>
      </c>
      <c r="Y18" s="7">
        <v>3828322.2</v>
      </c>
      <c r="Z18" s="7">
        <v>285777</v>
      </c>
      <c r="AA18" s="7">
        <v>437045</v>
      </c>
      <c r="AB18" s="7">
        <v>4330</v>
      </c>
      <c r="AC18" s="7">
        <v>317011</v>
      </c>
      <c r="AD18" s="7">
        <v>1044163</v>
      </c>
      <c r="AE18" s="7">
        <v>1044767</v>
      </c>
      <c r="AF18" s="7">
        <v>22063562.353333332</v>
      </c>
      <c r="AG18" s="7">
        <v>48721923</v>
      </c>
      <c r="AH18" s="7">
        <v>0</v>
      </c>
      <c r="AI18" s="7">
        <v>48721923</v>
      </c>
      <c r="AJ18" s="8">
        <v>0.4528467062626681</v>
      </c>
      <c r="AK18" s="7">
        <v>10775724</v>
      </c>
      <c r="AL18" s="8">
        <v>0.58144327850421418</v>
      </c>
    </row>
    <row r="19" spans="1:38" x14ac:dyDescent="0.2">
      <c r="A19" s="6" t="s">
        <v>52</v>
      </c>
      <c r="B19" s="6" t="s">
        <v>49</v>
      </c>
      <c r="C19" s="7">
        <v>472787</v>
      </c>
      <c r="D19" s="7">
        <v>8637424.5008333325</v>
      </c>
      <c r="E19" s="7">
        <v>175</v>
      </c>
      <c r="F19" s="7">
        <v>12936</v>
      </c>
      <c r="G19" s="7">
        <v>268474</v>
      </c>
      <c r="H19" s="7">
        <v>9560359.1400000006</v>
      </c>
      <c r="I19" s="7">
        <v>18210719.640833333</v>
      </c>
      <c r="J19" s="7">
        <v>630</v>
      </c>
      <c r="K19" s="7">
        <v>428</v>
      </c>
      <c r="L19" s="7">
        <v>0</v>
      </c>
      <c r="M19" s="7">
        <v>1058</v>
      </c>
      <c r="N19" s="7">
        <v>18211777.640833333</v>
      </c>
      <c r="O19" s="7">
        <v>11846894</v>
      </c>
      <c r="P19" s="7">
        <v>129279</v>
      </c>
      <c r="Q19" s="7">
        <v>468704.60000000003</v>
      </c>
      <c r="R19" s="7">
        <v>0</v>
      </c>
      <c r="S19" s="7">
        <v>468704.60000000003</v>
      </c>
      <c r="T19" s="7">
        <v>15550822</v>
      </c>
      <c r="U19" s="7">
        <v>22050</v>
      </c>
      <c r="V19" s="7">
        <v>1863452.64</v>
      </c>
      <c r="W19" s="7">
        <v>0</v>
      </c>
      <c r="X19" s="7">
        <v>1863452.64</v>
      </c>
      <c r="Y19" s="7">
        <v>2332157.2399999998</v>
      </c>
      <c r="Z19" s="7">
        <v>180643</v>
      </c>
      <c r="AA19" s="7">
        <v>409926</v>
      </c>
      <c r="AB19" s="7">
        <v>16355</v>
      </c>
      <c r="AC19" s="7">
        <v>100591</v>
      </c>
      <c r="AD19" s="7">
        <v>707515</v>
      </c>
      <c r="AE19" s="7">
        <v>708573</v>
      </c>
      <c r="AF19" s="7">
        <v>21251449.880833331</v>
      </c>
      <c r="AG19" s="7">
        <v>44262063</v>
      </c>
      <c r="AH19" s="7">
        <v>0</v>
      </c>
      <c r="AI19" s="7">
        <v>44262063</v>
      </c>
      <c r="AJ19" s="8">
        <v>0.48012786663001522</v>
      </c>
      <c r="AK19" s="7">
        <v>8567326</v>
      </c>
      <c r="AL19" s="8">
        <v>0.59536647884065741</v>
      </c>
    </row>
    <row r="20" spans="1:38" x14ac:dyDescent="0.2">
      <c r="A20" s="6" t="s">
        <v>53</v>
      </c>
      <c r="B20" s="6" t="s">
        <v>49</v>
      </c>
      <c r="C20" s="7">
        <v>479858</v>
      </c>
      <c r="D20" s="7">
        <v>8766605.7783333324</v>
      </c>
      <c r="E20" s="7">
        <v>558</v>
      </c>
      <c r="F20" s="7">
        <v>41247.360000000001</v>
      </c>
      <c r="G20" s="7">
        <v>168291</v>
      </c>
      <c r="H20" s="7">
        <v>5992842.5099999998</v>
      </c>
      <c r="I20" s="7">
        <v>14800695.648333332</v>
      </c>
      <c r="J20" s="7">
        <v>784</v>
      </c>
      <c r="K20" s="7">
        <v>590</v>
      </c>
      <c r="L20" s="7">
        <v>0</v>
      </c>
      <c r="M20" s="7">
        <v>1374</v>
      </c>
      <c r="N20" s="7">
        <v>14802069.648333332</v>
      </c>
      <c r="O20" s="7">
        <v>25633457</v>
      </c>
      <c r="P20" s="7">
        <v>6252095</v>
      </c>
      <c r="Q20" s="7">
        <v>775254.48</v>
      </c>
      <c r="R20" s="7">
        <v>416382</v>
      </c>
      <c r="S20" s="7">
        <v>1191636.48</v>
      </c>
      <c r="T20" s="7">
        <v>13881554</v>
      </c>
      <c r="U20" s="7">
        <v>310590</v>
      </c>
      <c r="V20" s="7">
        <v>1628515.68</v>
      </c>
      <c r="W20" s="7">
        <v>0</v>
      </c>
      <c r="X20" s="7">
        <v>1628515.68</v>
      </c>
      <c r="Y20" s="7">
        <v>2820152.16</v>
      </c>
      <c r="Z20" s="7">
        <v>2139687</v>
      </c>
      <c r="AA20" s="7">
        <v>6818057</v>
      </c>
      <c r="AB20" s="7">
        <v>181615</v>
      </c>
      <c r="AC20" s="7">
        <v>212458</v>
      </c>
      <c r="AD20" s="7">
        <v>9351817</v>
      </c>
      <c r="AE20" s="7">
        <v>9353191</v>
      </c>
      <c r="AF20" s="7">
        <v>26974038.80833333</v>
      </c>
      <c r="AG20" s="7">
        <v>82876380</v>
      </c>
      <c r="AH20" s="7">
        <v>0</v>
      </c>
      <c r="AI20" s="7">
        <v>82876380</v>
      </c>
      <c r="AJ20" s="8">
        <v>0.3254731783450644</v>
      </c>
      <c r="AK20" s="7">
        <v>35613591</v>
      </c>
      <c r="AL20" s="8">
        <v>0.57072465207953194</v>
      </c>
    </row>
    <row r="21" spans="1:38" x14ac:dyDescent="0.2">
      <c r="A21" s="6" t="s">
        <v>54</v>
      </c>
      <c r="B21" s="6" t="s">
        <v>49</v>
      </c>
      <c r="C21" s="7">
        <v>552775</v>
      </c>
      <c r="D21" s="7">
        <v>10098738.604166666</v>
      </c>
      <c r="E21" s="7">
        <v>340</v>
      </c>
      <c r="F21" s="7">
        <v>25132.799999999999</v>
      </c>
      <c r="G21" s="7">
        <v>170595</v>
      </c>
      <c r="H21" s="7">
        <v>6074887.9500000002</v>
      </c>
      <c r="I21" s="7">
        <v>16198759.354166668</v>
      </c>
      <c r="J21" s="7">
        <v>335</v>
      </c>
      <c r="K21" s="7">
        <v>2394</v>
      </c>
      <c r="L21" s="7">
        <v>0</v>
      </c>
      <c r="M21" s="7">
        <v>2729</v>
      </c>
      <c r="N21" s="7">
        <v>16201488.354166668</v>
      </c>
      <c r="O21" s="7">
        <v>15796990</v>
      </c>
      <c r="P21" s="7">
        <v>2133167</v>
      </c>
      <c r="Q21" s="7">
        <v>546552.92000000004</v>
      </c>
      <c r="R21" s="7">
        <v>674160</v>
      </c>
      <c r="S21" s="7">
        <v>1220712.92</v>
      </c>
      <c r="T21" s="7">
        <v>19212430</v>
      </c>
      <c r="U21" s="7">
        <v>1013556</v>
      </c>
      <c r="V21" s="7">
        <v>2183864.88</v>
      </c>
      <c r="W21" s="7">
        <v>0</v>
      </c>
      <c r="X21" s="7">
        <v>2183864.88</v>
      </c>
      <c r="Y21" s="7">
        <v>3404577.8</v>
      </c>
      <c r="Z21" s="7">
        <v>652952</v>
      </c>
      <c r="AA21" s="7">
        <v>520729</v>
      </c>
      <c r="AB21" s="7">
        <v>46330</v>
      </c>
      <c r="AC21" s="7">
        <v>425008</v>
      </c>
      <c r="AD21" s="7">
        <v>1645019</v>
      </c>
      <c r="AE21" s="7">
        <v>1647748</v>
      </c>
      <c r="AF21" s="7">
        <v>21251085.154166669</v>
      </c>
      <c r="AG21" s="7">
        <v>52308813</v>
      </c>
      <c r="AH21" s="7">
        <v>0</v>
      </c>
      <c r="AI21" s="7">
        <v>52308813</v>
      </c>
      <c r="AJ21" s="8">
        <v>0.40626204143012512</v>
      </c>
      <c r="AK21" s="7">
        <v>13266583</v>
      </c>
      <c r="AL21" s="8">
        <v>0.54431022905624671</v>
      </c>
    </row>
    <row r="22" spans="1:38" x14ac:dyDescent="0.2">
      <c r="A22" s="6" t="s">
        <v>55</v>
      </c>
      <c r="B22" s="6" t="s">
        <v>49</v>
      </c>
      <c r="C22" s="7">
        <v>796874</v>
      </c>
      <c r="D22" s="7">
        <v>14558223.918333331</v>
      </c>
      <c r="E22" s="7">
        <v>579</v>
      </c>
      <c r="F22" s="7">
        <v>42799.68</v>
      </c>
      <c r="G22" s="7">
        <v>550352</v>
      </c>
      <c r="H22" s="7">
        <v>19598034.719999999</v>
      </c>
      <c r="I22" s="7">
        <v>34199058.318333328</v>
      </c>
      <c r="J22" s="7">
        <v>755</v>
      </c>
      <c r="K22" s="7">
        <v>882</v>
      </c>
      <c r="L22" s="7">
        <v>0</v>
      </c>
      <c r="M22" s="7">
        <v>1637</v>
      </c>
      <c r="N22" s="7">
        <v>34200695.318333328</v>
      </c>
      <c r="O22" s="7">
        <v>13156609</v>
      </c>
      <c r="P22" s="7">
        <v>482601</v>
      </c>
      <c r="Q22" s="7">
        <v>506960.32</v>
      </c>
      <c r="R22" s="7">
        <v>1004113</v>
      </c>
      <c r="S22" s="7">
        <v>1511073.32</v>
      </c>
      <c r="T22" s="7">
        <v>27130213</v>
      </c>
      <c r="U22" s="7">
        <v>55450</v>
      </c>
      <c r="V22" s="7">
        <v>3248971.56</v>
      </c>
      <c r="W22" s="7">
        <v>0</v>
      </c>
      <c r="X22" s="7">
        <v>3248971.56</v>
      </c>
      <c r="Y22" s="7">
        <v>4760044.88</v>
      </c>
      <c r="Z22" s="7">
        <v>265945</v>
      </c>
      <c r="AA22" s="7">
        <v>506661</v>
      </c>
      <c r="AB22" s="7">
        <v>17535</v>
      </c>
      <c r="AC22" s="7">
        <v>91314</v>
      </c>
      <c r="AD22" s="7">
        <v>881455</v>
      </c>
      <c r="AE22" s="7">
        <v>883092</v>
      </c>
      <c r="AF22" s="7">
        <v>39842195.19833333</v>
      </c>
      <c r="AG22" s="7">
        <v>69710974</v>
      </c>
      <c r="AH22" s="7">
        <v>0</v>
      </c>
      <c r="AI22" s="7">
        <v>69710974</v>
      </c>
      <c r="AJ22" s="8">
        <v>0.57153404854640721</v>
      </c>
      <c r="AK22" s="7">
        <v>10026295</v>
      </c>
      <c r="AL22" s="8">
        <v>0.6675447680355846</v>
      </c>
    </row>
    <row r="23" spans="1:38" x14ac:dyDescent="0.2">
      <c r="A23" s="6" t="s">
        <v>56</v>
      </c>
      <c r="B23" s="6" t="s">
        <v>49</v>
      </c>
      <c r="C23" s="7">
        <v>893747</v>
      </c>
      <c r="D23" s="7">
        <v>16328012.900833333</v>
      </c>
      <c r="E23" s="7">
        <v>500</v>
      </c>
      <c r="F23" s="7">
        <v>36960</v>
      </c>
      <c r="G23" s="7">
        <v>657623</v>
      </c>
      <c r="H23" s="7">
        <v>23417955.030000001</v>
      </c>
      <c r="I23" s="7">
        <v>39782927.930833332</v>
      </c>
      <c r="J23" s="7">
        <v>653</v>
      </c>
      <c r="K23" s="7">
        <v>504</v>
      </c>
      <c r="L23" s="7">
        <v>0</v>
      </c>
      <c r="M23" s="7">
        <v>1157</v>
      </c>
      <c r="N23" s="7">
        <v>39784084.930833332</v>
      </c>
      <c r="O23" s="7">
        <v>18227390</v>
      </c>
      <c r="P23" s="7">
        <v>771180</v>
      </c>
      <c r="Q23" s="7">
        <v>698248.4</v>
      </c>
      <c r="R23" s="7">
        <v>1083511</v>
      </c>
      <c r="S23" s="7">
        <v>1781759.4</v>
      </c>
      <c r="T23" s="7">
        <v>30615181</v>
      </c>
      <c r="U23" s="7">
        <v>719408</v>
      </c>
      <c r="V23" s="7">
        <v>3587492.76</v>
      </c>
      <c r="W23" s="7">
        <v>0</v>
      </c>
      <c r="X23" s="7">
        <v>3587492.76</v>
      </c>
      <c r="Y23" s="7">
        <v>5369252.1600000001</v>
      </c>
      <c r="Z23" s="7">
        <v>456501</v>
      </c>
      <c r="AA23" s="7">
        <v>903934</v>
      </c>
      <c r="AB23" s="7">
        <v>55710</v>
      </c>
      <c r="AC23" s="7">
        <v>114517</v>
      </c>
      <c r="AD23" s="7">
        <v>1530662</v>
      </c>
      <c r="AE23" s="7">
        <v>1531819</v>
      </c>
      <c r="AF23" s="7">
        <v>46683999.090833336</v>
      </c>
      <c r="AG23" s="7">
        <v>79989032</v>
      </c>
      <c r="AH23" s="7">
        <v>0</v>
      </c>
      <c r="AI23" s="7">
        <v>79989032</v>
      </c>
      <c r="AJ23" s="8">
        <v>0.58363000430900747</v>
      </c>
      <c r="AK23" s="7">
        <v>16987106</v>
      </c>
      <c r="AL23" s="8">
        <v>0.74099320536380642</v>
      </c>
    </row>
    <row r="24" spans="1:38" x14ac:dyDescent="0.2">
      <c r="A24" s="6" t="s">
        <v>57</v>
      </c>
      <c r="B24" s="6" t="s">
        <v>49</v>
      </c>
      <c r="C24" s="7">
        <v>729278</v>
      </c>
      <c r="D24" s="7">
        <v>13323301.328333333</v>
      </c>
      <c r="E24" s="7">
        <v>907</v>
      </c>
      <c r="F24" s="7">
        <v>67045.440000000002</v>
      </c>
      <c r="G24" s="7">
        <v>315703</v>
      </c>
      <c r="H24" s="7">
        <v>11242183.83</v>
      </c>
      <c r="I24" s="7">
        <v>24632530.598333333</v>
      </c>
      <c r="J24" s="7">
        <v>190</v>
      </c>
      <c r="K24" s="7">
        <v>1373</v>
      </c>
      <c r="L24" s="7">
        <v>0</v>
      </c>
      <c r="M24" s="7">
        <v>1563</v>
      </c>
      <c r="N24" s="7">
        <v>24634093.598333333</v>
      </c>
      <c r="O24" s="7">
        <v>18455986</v>
      </c>
      <c r="P24" s="7">
        <v>2339241</v>
      </c>
      <c r="Q24" s="7">
        <v>644669.80000000005</v>
      </c>
      <c r="R24" s="7">
        <v>1249836</v>
      </c>
      <c r="S24" s="7">
        <v>1894505.8</v>
      </c>
      <c r="T24" s="7">
        <v>24187114</v>
      </c>
      <c r="U24" s="7">
        <v>582476</v>
      </c>
      <c r="V24" s="7">
        <v>2832556.56</v>
      </c>
      <c r="W24" s="7">
        <v>0</v>
      </c>
      <c r="X24" s="7">
        <v>2832556.56</v>
      </c>
      <c r="Y24" s="7">
        <v>4727062.3600000003</v>
      </c>
      <c r="Z24" s="7">
        <v>881483</v>
      </c>
      <c r="AA24" s="7">
        <v>1172818</v>
      </c>
      <c r="AB24" s="7">
        <v>90105</v>
      </c>
      <c r="AC24" s="7">
        <v>185627</v>
      </c>
      <c r="AD24" s="7">
        <v>2330033</v>
      </c>
      <c r="AE24" s="7">
        <v>2331596</v>
      </c>
      <c r="AF24" s="7">
        <v>31691188.958333332</v>
      </c>
      <c r="AG24" s="7">
        <v>107729489</v>
      </c>
      <c r="AH24" s="7">
        <v>0</v>
      </c>
      <c r="AI24" s="7">
        <v>107729489</v>
      </c>
      <c r="AJ24" s="8">
        <v>0.29417376107978505</v>
      </c>
      <c r="AK24" s="7">
        <v>31839828</v>
      </c>
      <c r="AL24" s="8">
        <v>0.4175956057878995</v>
      </c>
    </row>
    <row r="25" spans="1:38" x14ac:dyDescent="0.2">
      <c r="A25" s="6" t="s">
        <v>58</v>
      </c>
      <c r="B25" s="6" t="s">
        <v>49</v>
      </c>
      <c r="C25" s="7">
        <v>881838</v>
      </c>
      <c r="D25" s="7">
        <v>16110445.394999998</v>
      </c>
      <c r="E25" s="7">
        <v>1024</v>
      </c>
      <c r="F25" s="7">
        <v>75694.080000000002</v>
      </c>
      <c r="G25" s="7">
        <v>477784</v>
      </c>
      <c r="H25" s="7">
        <v>17013888.239999998</v>
      </c>
      <c r="I25" s="7">
        <v>33200027.714999996</v>
      </c>
      <c r="J25" s="7">
        <v>1121</v>
      </c>
      <c r="K25" s="7">
        <v>4478</v>
      </c>
      <c r="L25" s="7">
        <v>0</v>
      </c>
      <c r="M25" s="7">
        <v>5599</v>
      </c>
      <c r="N25" s="7">
        <v>33205626.714999996</v>
      </c>
      <c r="O25" s="7">
        <v>21140962</v>
      </c>
      <c r="P25" s="7">
        <v>2491981</v>
      </c>
      <c r="Q25" s="7">
        <v>745959.24</v>
      </c>
      <c r="R25" s="7">
        <v>1310432</v>
      </c>
      <c r="S25" s="7">
        <v>2056391.24</v>
      </c>
      <c r="T25" s="7">
        <v>20776591</v>
      </c>
      <c r="U25" s="7">
        <v>517344</v>
      </c>
      <c r="V25" s="7">
        <v>2431109.64</v>
      </c>
      <c r="W25" s="7">
        <v>0</v>
      </c>
      <c r="X25" s="7">
        <v>2431109.64</v>
      </c>
      <c r="Y25" s="7">
        <v>4487500.88</v>
      </c>
      <c r="Z25" s="7">
        <v>650788</v>
      </c>
      <c r="AA25" s="7">
        <v>1090956</v>
      </c>
      <c r="AB25" s="7">
        <v>36574</v>
      </c>
      <c r="AC25" s="7">
        <v>189730</v>
      </c>
      <c r="AD25" s="7">
        <v>1968048</v>
      </c>
      <c r="AE25" s="7">
        <v>1973647</v>
      </c>
      <c r="AF25" s="7">
        <v>39661175.594999999</v>
      </c>
      <c r="AG25" s="7">
        <v>94501986</v>
      </c>
      <c r="AH25" s="7">
        <v>0</v>
      </c>
      <c r="AI25" s="7">
        <v>94501986</v>
      </c>
      <c r="AJ25" s="8">
        <v>0.41968615977022961</v>
      </c>
      <c r="AK25" s="7">
        <v>24958915</v>
      </c>
      <c r="AL25" s="8">
        <v>0.57031096016740468</v>
      </c>
    </row>
    <row r="26" spans="1:38" x14ac:dyDescent="0.2">
      <c r="A26" s="6" t="s">
        <v>59</v>
      </c>
      <c r="B26" s="6" t="s">
        <v>49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492271</v>
      </c>
      <c r="P26" s="7">
        <v>0</v>
      </c>
      <c r="Q26" s="7">
        <v>19690.84</v>
      </c>
      <c r="R26" s="7">
        <v>0</v>
      </c>
      <c r="S26" s="7">
        <v>19690.84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19690.84</v>
      </c>
      <c r="Z26" s="7">
        <v>88795</v>
      </c>
      <c r="AA26" s="7">
        <v>425668</v>
      </c>
      <c r="AB26" s="7">
        <v>440</v>
      </c>
      <c r="AC26" s="7">
        <v>9745</v>
      </c>
      <c r="AD26" s="7">
        <v>524648</v>
      </c>
      <c r="AE26" s="7">
        <v>524648</v>
      </c>
      <c r="AF26" s="7">
        <v>544338.84</v>
      </c>
      <c r="AG26" s="7">
        <v>24723048</v>
      </c>
      <c r="AH26" s="7">
        <v>0</v>
      </c>
      <c r="AI26" s="7">
        <v>24723048</v>
      </c>
      <c r="AJ26" s="8">
        <v>2.2017464836859919E-2</v>
      </c>
      <c r="AK26" s="7">
        <v>2146539</v>
      </c>
      <c r="AL26" s="8">
        <v>2.4110850796285641E-2</v>
      </c>
    </row>
    <row r="27" spans="1:38" x14ac:dyDescent="0.2">
      <c r="A27" s="6" t="s">
        <v>60</v>
      </c>
      <c r="B27" s="6" t="s">
        <v>49</v>
      </c>
      <c r="C27" s="7">
        <v>501415</v>
      </c>
      <c r="D27" s="7">
        <v>9160434.2041666657</v>
      </c>
      <c r="E27" s="7">
        <v>256</v>
      </c>
      <c r="F27" s="7">
        <v>18923.52</v>
      </c>
      <c r="G27" s="7">
        <v>207857</v>
      </c>
      <c r="H27" s="7">
        <v>7401787.7699999996</v>
      </c>
      <c r="I27" s="7">
        <v>16581145.494166665</v>
      </c>
      <c r="J27" s="7">
        <v>798</v>
      </c>
      <c r="K27" s="7">
        <v>2273</v>
      </c>
      <c r="L27" s="7">
        <v>0</v>
      </c>
      <c r="M27" s="7">
        <v>3071</v>
      </c>
      <c r="N27" s="7">
        <v>16584216.494166665</v>
      </c>
      <c r="O27" s="7">
        <v>10518413</v>
      </c>
      <c r="P27" s="7">
        <v>0</v>
      </c>
      <c r="Q27" s="7">
        <v>420736.52</v>
      </c>
      <c r="R27" s="7">
        <v>807084</v>
      </c>
      <c r="S27" s="7">
        <v>1227820.52</v>
      </c>
      <c r="T27" s="7">
        <v>14601218</v>
      </c>
      <c r="U27" s="7">
        <v>148710</v>
      </c>
      <c r="V27" s="7">
        <v>1734300.96</v>
      </c>
      <c r="W27" s="7">
        <v>0</v>
      </c>
      <c r="X27" s="7">
        <v>1734300.96</v>
      </c>
      <c r="Y27" s="7">
        <v>2962121.48</v>
      </c>
      <c r="Z27" s="7">
        <v>225661</v>
      </c>
      <c r="AA27" s="7">
        <v>498775</v>
      </c>
      <c r="AB27" s="7">
        <v>10755</v>
      </c>
      <c r="AC27" s="7">
        <v>101458</v>
      </c>
      <c r="AD27" s="7">
        <v>836649</v>
      </c>
      <c r="AE27" s="7">
        <v>839720</v>
      </c>
      <c r="AF27" s="7">
        <v>20382986.974166665</v>
      </c>
      <c r="AG27" s="7">
        <v>51437092</v>
      </c>
      <c r="AH27" s="7">
        <v>0</v>
      </c>
      <c r="AI27" s="7">
        <v>51437092</v>
      </c>
      <c r="AJ27" s="8">
        <v>0.39627020466411017</v>
      </c>
      <c r="AK27" s="7">
        <v>12819772</v>
      </c>
      <c r="AL27" s="8">
        <v>0.52781982214629775</v>
      </c>
    </row>
    <row r="28" spans="1:38" x14ac:dyDescent="0.2">
      <c r="A28" s="6" t="s">
        <v>61</v>
      </c>
      <c r="B28" s="6" t="s">
        <v>49</v>
      </c>
      <c r="C28" s="7">
        <v>566743</v>
      </c>
      <c r="D28" s="7">
        <v>10353922.324166667</v>
      </c>
      <c r="E28" s="7">
        <v>431</v>
      </c>
      <c r="F28" s="7">
        <v>31859.52</v>
      </c>
      <c r="G28" s="7">
        <v>336074</v>
      </c>
      <c r="H28" s="7">
        <v>11967595.140000001</v>
      </c>
      <c r="I28" s="7">
        <v>22353376.984166667</v>
      </c>
      <c r="J28" s="7">
        <v>180</v>
      </c>
      <c r="K28" s="7">
        <v>824</v>
      </c>
      <c r="L28" s="7">
        <v>0</v>
      </c>
      <c r="M28" s="7">
        <v>1004</v>
      </c>
      <c r="N28" s="7">
        <v>22354380.984166667</v>
      </c>
      <c r="O28" s="7">
        <v>20449221</v>
      </c>
      <c r="P28" s="7">
        <v>2871188</v>
      </c>
      <c r="Q28" s="7">
        <v>703121.32000000007</v>
      </c>
      <c r="R28" s="7">
        <v>1123720</v>
      </c>
      <c r="S28" s="7">
        <v>1826841.32</v>
      </c>
      <c r="T28" s="7">
        <v>19277206</v>
      </c>
      <c r="U28" s="7">
        <v>386236</v>
      </c>
      <c r="V28" s="7">
        <v>2266916.4</v>
      </c>
      <c r="W28" s="7">
        <v>0</v>
      </c>
      <c r="X28" s="7">
        <v>2266916.4</v>
      </c>
      <c r="Y28" s="7">
        <v>4093757.7199999997</v>
      </c>
      <c r="Z28" s="7">
        <v>520384</v>
      </c>
      <c r="AA28" s="7">
        <v>774558</v>
      </c>
      <c r="AB28" s="7">
        <v>43610</v>
      </c>
      <c r="AC28" s="7">
        <v>78199</v>
      </c>
      <c r="AD28" s="7">
        <v>1416751</v>
      </c>
      <c r="AE28" s="7">
        <v>1417755</v>
      </c>
      <c r="AF28" s="7">
        <v>27864889.704166666</v>
      </c>
      <c r="AG28" s="7">
        <v>77534884</v>
      </c>
      <c r="AH28" s="7">
        <v>0</v>
      </c>
      <c r="AI28" s="7">
        <v>77534884</v>
      </c>
      <c r="AJ28" s="8">
        <v>0.35938519885019321</v>
      </c>
      <c r="AK28" s="7">
        <v>23444241</v>
      </c>
      <c r="AL28" s="8">
        <v>0.51515175562188575</v>
      </c>
    </row>
    <row r="29" spans="1:38" x14ac:dyDescent="0.2">
      <c r="A29" s="6" t="s">
        <v>49</v>
      </c>
      <c r="B29" s="6" t="s">
        <v>49</v>
      </c>
      <c r="C29" s="7">
        <v>992961</v>
      </c>
      <c r="D29" s="7">
        <v>18140570.002500001</v>
      </c>
      <c r="E29" s="7">
        <v>1004</v>
      </c>
      <c r="F29" s="7">
        <v>74215.680000000008</v>
      </c>
      <c r="G29" s="7">
        <v>361997</v>
      </c>
      <c r="H29" s="7">
        <v>12890713.17</v>
      </c>
      <c r="I29" s="7">
        <v>31105498.852499999</v>
      </c>
      <c r="J29" s="7">
        <v>1594</v>
      </c>
      <c r="K29" s="7">
        <v>2338</v>
      </c>
      <c r="L29" s="7">
        <v>0</v>
      </c>
      <c r="M29" s="7">
        <v>3932</v>
      </c>
      <c r="N29" s="7">
        <v>31109430.852499999</v>
      </c>
      <c r="O29" s="7">
        <v>35116888</v>
      </c>
      <c r="P29" s="7">
        <v>6022077</v>
      </c>
      <c r="Q29" s="7">
        <v>1163792.44</v>
      </c>
      <c r="R29" s="7">
        <v>1138782</v>
      </c>
      <c r="S29" s="7">
        <v>2302574.44</v>
      </c>
      <c r="T29" s="7">
        <v>30397553</v>
      </c>
      <c r="U29" s="7">
        <v>1083094</v>
      </c>
      <c r="V29" s="7">
        <v>3517735.08</v>
      </c>
      <c r="W29" s="7">
        <v>0</v>
      </c>
      <c r="X29" s="7">
        <v>3517735.08</v>
      </c>
      <c r="Y29" s="7">
        <v>5820309.5199999996</v>
      </c>
      <c r="Z29" s="7">
        <v>20398937</v>
      </c>
      <c r="AA29" s="7">
        <v>4467329</v>
      </c>
      <c r="AB29" s="7">
        <v>501861</v>
      </c>
      <c r="AC29" s="7">
        <v>720262</v>
      </c>
      <c r="AD29" s="7">
        <v>26088389</v>
      </c>
      <c r="AE29" s="7">
        <v>26092321</v>
      </c>
      <c r="AF29" s="7">
        <v>63018129.372500002</v>
      </c>
      <c r="AG29" s="7">
        <v>171299325</v>
      </c>
      <c r="AH29" s="7">
        <v>0</v>
      </c>
      <c r="AI29" s="7">
        <v>171299325</v>
      </c>
      <c r="AJ29" s="8">
        <v>0.36788311554934616</v>
      </c>
      <c r="AK29" s="7">
        <v>66974315</v>
      </c>
      <c r="AL29" s="8">
        <v>0.60405581914154627</v>
      </c>
    </row>
    <row r="30" spans="1:38" x14ac:dyDescent="0.2">
      <c r="A30" s="6" t="s">
        <v>62</v>
      </c>
      <c r="B30" s="6" t="s">
        <v>49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174880</v>
      </c>
      <c r="P30" s="7">
        <v>0</v>
      </c>
      <c r="Q30" s="7">
        <v>6995.2</v>
      </c>
      <c r="R30" s="7">
        <v>762735</v>
      </c>
      <c r="S30" s="7">
        <v>769730.2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769730.2</v>
      </c>
      <c r="Z30" s="7">
        <v>0</v>
      </c>
      <c r="AA30" s="7">
        <v>0</v>
      </c>
      <c r="AB30" s="7">
        <v>0</v>
      </c>
      <c r="AC30" s="7">
        <v>1468</v>
      </c>
      <c r="AD30" s="7">
        <v>1468</v>
      </c>
      <c r="AE30" s="7">
        <v>1468</v>
      </c>
      <c r="AF30" s="7">
        <v>771198.2</v>
      </c>
      <c r="AG30" s="7">
        <v>10433640</v>
      </c>
      <c r="AH30" s="7">
        <v>0</v>
      </c>
      <c r="AI30" s="7">
        <v>10433640</v>
      </c>
      <c r="AJ30" s="8">
        <v>7.3914587814032304E-2</v>
      </c>
      <c r="AK30" s="7">
        <v>592390</v>
      </c>
      <c r="AL30" s="8">
        <v>7.8363846056141231E-2</v>
      </c>
    </row>
    <row r="31" spans="1:38" x14ac:dyDescent="0.2">
      <c r="A31" s="6" t="s">
        <v>63</v>
      </c>
      <c r="B31" s="6" t="s">
        <v>64</v>
      </c>
      <c r="C31" s="7">
        <v>555818</v>
      </c>
      <c r="D31" s="7">
        <v>10154331.678333333</v>
      </c>
      <c r="E31" s="7">
        <v>1691</v>
      </c>
      <c r="F31" s="7">
        <v>124998.72</v>
      </c>
      <c r="G31" s="7">
        <v>407165</v>
      </c>
      <c r="H31" s="7">
        <v>14499145.65</v>
      </c>
      <c r="I31" s="7">
        <v>24778476.048333332</v>
      </c>
      <c r="J31" s="7">
        <v>270</v>
      </c>
      <c r="K31" s="7">
        <v>252</v>
      </c>
      <c r="L31" s="7">
        <v>0</v>
      </c>
      <c r="M31" s="7">
        <v>522</v>
      </c>
      <c r="N31" s="7">
        <v>24778998.048333332</v>
      </c>
      <c r="O31" s="7">
        <v>12191504</v>
      </c>
      <c r="P31" s="7">
        <v>551183</v>
      </c>
      <c r="Q31" s="7">
        <v>465612.84</v>
      </c>
      <c r="R31" s="7">
        <v>756136</v>
      </c>
      <c r="S31" s="7">
        <v>1221748.8400000001</v>
      </c>
      <c r="T31" s="7">
        <v>14401987</v>
      </c>
      <c r="U31" s="7">
        <v>57743</v>
      </c>
      <c r="V31" s="7">
        <v>1721309.28</v>
      </c>
      <c r="W31" s="7">
        <v>0</v>
      </c>
      <c r="X31" s="7">
        <v>1721309.28</v>
      </c>
      <c r="Y31" s="7">
        <v>2943058.12</v>
      </c>
      <c r="Z31" s="7">
        <v>326051</v>
      </c>
      <c r="AA31" s="7">
        <v>533772</v>
      </c>
      <c r="AB31" s="7">
        <v>19263</v>
      </c>
      <c r="AC31" s="7">
        <v>287624</v>
      </c>
      <c r="AD31" s="7">
        <v>1166710</v>
      </c>
      <c r="AE31" s="7">
        <v>1167232</v>
      </c>
      <c r="AF31" s="7">
        <v>28888766.168333333</v>
      </c>
      <c r="AG31" s="7">
        <v>54190005</v>
      </c>
      <c r="AH31" s="7">
        <v>0</v>
      </c>
      <c r="AI31" s="7">
        <v>54190005</v>
      </c>
      <c r="AJ31" s="8">
        <v>0.53310137484455544</v>
      </c>
      <c r="AK31" s="7">
        <v>17564663</v>
      </c>
      <c r="AL31" s="8">
        <v>0.78876440712371598</v>
      </c>
    </row>
    <row r="32" spans="1:38" x14ac:dyDescent="0.2">
      <c r="A32" s="6" t="s">
        <v>65</v>
      </c>
      <c r="B32" s="6" t="s">
        <v>64</v>
      </c>
      <c r="C32" s="7">
        <v>1103079</v>
      </c>
      <c r="D32" s="7">
        <v>20152334.0975</v>
      </c>
      <c r="E32" s="7">
        <v>1071</v>
      </c>
      <c r="F32" s="7">
        <v>79168.320000000007</v>
      </c>
      <c r="G32" s="7">
        <v>857796</v>
      </c>
      <c r="H32" s="7">
        <v>30546115.559999999</v>
      </c>
      <c r="I32" s="7">
        <v>50777617.977499999</v>
      </c>
      <c r="J32" s="7">
        <v>355</v>
      </c>
      <c r="K32" s="7">
        <v>852</v>
      </c>
      <c r="L32" s="7">
        <v>0</v>
      </c>
      <c r="M32" s="7">
        <v>1207</v>
      </c>
      <c r="N32" s="7">
        <v>50778824.977499999</v>
      </c>
      <c r="O32" s="7">
        <v>16671283</v>
      </c>
      <c r="P32" s="7">
        <v>566397</v>
      </c>
      <c r="Q32" s="7">
        <v>644195.44000000006</v>
      </c>
      <c r="R32" s="7">
        <v>826274</v>
      </c>
      <c r="S32" s="7">
        <v>1470469.44</v>
      </c>
      <c r="T32" s="7">
        <v>17841664</v>
      </c>
      <c r="U32" s="7">
        <v>0</v>
      </c>
      <c r="V32" s="7">
        <v>2140999.6799999997</v>
      </c>
      <c r="W32" s="7">
        <v>0</v>
      </c>
      <c r="X32" s="7">
        <v>2140999.6799999997</v>
      </c>
      <c r="Y32" s="7">
        <v>3611469.1199999996</v>
      </c>
      <c r="Z32" s="7">
        <v>406135</v>
      </c>
      <c r="AA32" s="7">
        <v>733133</v>
      </c>
      <c r="AB32" s="7">
        <v>128459</v>
      </c>
      <c r="AC32" s="7">
        <v>328420</v>
      </c>
      <c r="AD32" s="7">
        <v>1596147</v>
      </c>
      <c r="AE32" s="7">
        <v>1597354</v>
      </c>
      <c r="AF32" s="7">
        <v>55986441.097499996</v>
      </c>
      <c r="AG32" s="7">
        <v>83172792</v>
      </c>
      <c r="AH32" s="7">
        <v>0</v>
      </c>
      <c r="AI32" s="7">
        <v>83172792</v>
      </c>
      <c r="AJ32" s="8">
        <v>0.67313408328891977</v>
      </c>
      <c r="AK32" s="7">
        <v>17102848</v>
      </c>
      <c r="AL32" s="8">
        <v>0.84738139171875182</v>
      </c>
    </row>
    <row r="33" spans="1:38" x14ac:dyDescent="0.2">
      <c r="A33" s="6" t="s">
        <v>66</v>
      </c>
      <c r="B33" s="6" t="s">
        <v>64</v>
      </c>
      <c r="C33" s="7">
        <v>715875</v>
      </c>
      <c r="D33" s="7">
        <v>13078439.6875</v>
      </c>
      <c r="E33" s="7">
        <v>612</v>
      </c>
      <c r="F33" s="7">
        <v>45239.040000000001</v>
      </c>
      <c r="G33" s="7">
        <v>595580</v>
      </c>
      <c r="H33" s="7">
        <v>21208603.800000001</v>
      </c>
      <c r="I33" s="7">
        <v>34332282.527500004</v>
      </c>
      <c r="J33" s="7">
        <v>965</v>
      </c>
      <c r="K33" s="7">
        <v>811</v>
      </c>
      <c r="L33" s="7">
        <v>0</v>
      </c>
      <c r="M33" s="7">
        <v>1776</v>
      </c>
      <c r="N33" s="7">
        <v>34334058.527500004</v>
      </c>
      <c r="O33" s="7">
        <v>19129789</v>
      </c>
      <c r="P33" s="7">
        <v>1163430</v>
      </c>
      <c r="Q33" s="7">
        <v>718654.36</v>
      </c>
      <c r="R33" s="7">
        <v>956116</v>
      </c>
      <c r="S33" s="7">
        <v>1674770.3599999999</v>
      </c>
      <c r="T33" s="7">
        <v>13793265</v>
      </c>
      <c r="U33" s="7">
        <v>197809</v>
      </c>
      <c r="V33" s="7">
        <v>1631454.72</v>
      </c>
      <c r="W33" s="7">
        <v>0</v>
      </c>
      <c r="X33" s="7">
        <v>1631454.72</v>
      </c>
      <c r="Y33" s="7">
        <v>3306225.08</v>
      </c>
      <c r="Z33" s="7">
        <v>780122</v>
      </c>
      <c r="AA33" s="7">
        <v>1244659</v>
      </c>
      <c r="AB33" s="7">
        <v>147588</v>
      </c>
      <c r="AC33" s="7">
        <v>149824</v>
      </c>
      <c r="AD33" s="7">
        <v>2322193</v>
      </c>
      <c r="AE33" s="7">
        <v>2323969</v>
      </c>
      <c r="AF33" s="7">
        <v>39962476.607500002</v>
      </c>
      <c r="AG33" s="7">
        <v>85813491</v>
      </c>
      <c r="AH33" s="7">
        <v>0</v>
      </c>
      <c r="AI33" s="7">
        <v>85813491</v>
      </c>
      <c r="AJ33" s="8">
        <v>0.46568990658473502</v>
      </c>
      <c r="AK33" s="7">
        <v>26119893</v>
      </c>
      <c r="AL33" s="8">
        <v>0.66946000821562146</v>
      </c>
    </row>
    <row r="34" spans="1:38" x14ac:dyDescent="0.2">
      <c r="A34" s="6" t="s">
        <v>67</v>
      </c>
      <c r="B34" s="6" t="s">
        <v>64</v>
      </c>
      <c r="C34" s="7">
        <v>882774</v>
      </c>
      <c r="D34" s="7">
        <v>16127545.334999999</v>
      </c>
      <c r="E34" s="7">
        <v>536</v>
      </c>
      <c r="F34" s="7">
        <v>39621.120000000003</v>
      </c>
      <c r="G34" s="7">
        <v>664708</v>
      </c>
      <c r="H34" s="7">
        <v>23670251.879999999</v>
      </c>
      <c r="I34" s="7">
        <v>39837418.334999993</v>
      </c>
      <c r="J34" s="7">
        <v>370</v>
      </c>
      <c r="K34" s="7">
        <v>869</v>
      </c>
      <c r="L34" s="7">
        <v>0</v>
      </c>
      <c r="M34" s="7">
        <v>1239</v>
      </c>
      <c r="N34" s="7">
        <v>39838657.334999993</v>
      </c>
      <c r="O34" s="7">
        <v>21729345</v>
      </c>
      <c r="P34" s="7">
        <v>2083121</v>
      </c>
      <c r="Q34" s="7">
        <v>785848.96</v>
      </c>
      <c r="R34" s="7">
        <v>862000</v>
      </c>
      <c r="S34" s="7">
        <v>1647848.96</v>
      </c>
      <c r="T34" s="7">
        <v>32274565</v>
      </c>
      <c r="U34" s="7">
        <v>100833</v>
      </c>
      <c r="V34" s="7">
        <v>3860847.84</v>
      </c>
      <c r="W34" s="7">
        <v>0</v>
      </c>
      <c r="X34" s="7">
        <v>3860847.84</v>
      </c>
      <c r="Y34" s="7">
        <v>5508696.7999999998</v>
      </c>
      <c r="Z34" s="7">
        <v>203830</v>
      </c>
      <c r="AA34" s="7">
        <v>479019</v>
      </c>
      <c r="AB34" s="7">
        <v>16535</v>
      </c>
      <c r="AC34" s="7">
        <v>171921</v>
      </c>
      <c r="AD34" s="7">
        <v>871305</v>
      </c>
      <c r="AE34" s="7">
        <v>872544</v>
      </c>
      <c r="AF34" s="7">
        <v>46218659.13499999</v>
      </c>
      <c r="AG34" s="7">
        <v>58706732</v>
      </c>
      <c r="AH34" s="7">
        <v>0</v>
      </c>
      <c r="AI34" s="7">
        <v>58706732</v>
      </c>
      <c r="AJ34" s="8">
        <v>0.78728039460619248</v>
      </c>
      <c r="AK34" s="7">
        <v>11895105</v>
      </c>
      <c r="AL34" s="8">
        <v>0.98733289349246478</v>
      </c>
    </row>
    <row r="35" spans="1:38" x14ac:dyDescent="0.2">
      <c r="A35" s="6" t="s">
        <v>68</v>
      </c>
      <c r="B35" s="6" t="s">
        <v>64</v>
      </c>
      <c r="C35" s="7">
        <v>707924</v>
      </c>
      <c r="D35" s="7">
        <v>12933181.543333331</v>
      </c>
      <c r="E35" s="7">
        <v>438</v>
      </c>
      <c r="F35" s="7">
        <v>32376.959999999999</v>
      </c>
      <c r="G35" s="7">
        <v>733795</v>
      </c>
      <c r="H35" s="7">
        <v>26130439.949999999</v>
      </c>
      <c r="I35" s="7">
        <v>39095998.453333333</v>
      </c>
      <c r="J35" s="7">
        <v>200</v>
      </c>
      <c r="K35" s="7">
        <v>1462</v>
      </c>
      <c r="L35" s="7">
        <v>0</v>
      </c>
      <c r="M35" s="7">
        <v>1662</v>
      </c>
      <c r="N35" s="7">
        <v>39097660.453333333</v>
      </c>
      <c r="O35" s="7">
        <v>21944699</v>
      </c>
      <c r="P35" s="7">
        <v>2820044</v>
      </c>
      <c r="Q35" s="7">
        <v>764986.20000000007</v>
      </c>
      <c r="R35" s="7">
        <v>794238</v>
      </c>
      <c r="S35" s="7">
        <v>1559224.2000000002</v>
      </c>
      <c r="T35" s="7">
        <v>18829142</v>
      </c>
      <c r="U35" s="7">
        <v>597969</v>
      </c>
      <c r="V35" s="7">
        <v>2187740.7599999998</v>
      </c>
      <c r="W35" s="7">
        <v>0</v>
      </c>
      <c r="X35" s="7">
        <v>2187740.7599999998</v>
      </c>
      <c r="Y35" s="7">
        <v>3746964.96</v>
      </c>
      <c r="Z35" s="7">
        <v>488322</v>
      </c>
      <c r="AA35" s="7">
        <v>1759308</v>
      </c>
      <c r="AB35" s="7">
        <v>24126</v>
      </c>
      <c r="AC35" s="7">
        <v>273621</v>
      </c>
      <c r="AD35" s="7">
        <v>2545377</v>
      </c>
      <c r="AE35" s="7">
        <v>2547039</v>
      </c>
      <c r="AF35" s="7">
        <v>45390002.413333334</v>
      </c>
      <c r="AG35" s="7">
        <v>101213189</v>
      </c>
      <c r="AH35" s="7">
        <v>0</v>
      </c>
      <c r="AI35" s="7">
        <v>101213189</v>
      </c>
      <c r="AJ35" s="8">
        <v>0.44845936445430384</v>
      </c>
      <c r="AK35" s="7">
        <v>32098810</v>
      </c>
      <c r="AL35" s="8">
        <v>0.6567374701193992</v>
      </c>
    </row>
    <row r="36" spans="1:38" x14ac:dyDescent="0.2">
      <c r="A36" s="6" t="s">
        <v>69</v>
      </c>
      <c r="B36" s="6" t="s">
        <v>64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1342019</v>
      </c>
      <c r="P36" s="7">
        <v>0</v>
      </c>
      <c r="Q36" s="7">
        <v>53680.76</v>
      </c>
      <c r="R36" s="7">
        <v>0</v>
      </c>
      <c r="S36" s="7">
        <v>53680.76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53680.76</v>
      </c>
      <c r="Z36" s="7">
        <v>123473</v>
      </c>
      <c r="AA36" s="7">
        <v>220134</v>
      </c>
      <c r="AB36" s="7">
        <v>0</v>
      </c>
      <c r="AC36" s="7">
        <v>61228</v>
      </c>
      <c r="AD36" s="7">
        <v>404835</v>
      </c>
      <c r="AE36" s="7">
        <v>404835</v>
      </c>
      <c r="AF36" s="7">
        <v>458515.76</v>
      </c>
      <c r="AG36" s="7">
        <v>59107530</v>
      </c>
      <c r="AH36" s="7">
        <v>0</v>
      </c>
      <c r="AI36" s="7">
        <v>59107530</v>
      </c>
      <c r="AJ36" s="8">
        <v>7.7573155230814079E-3</v>
      </c>
      <c r="AK36" s="7">
        <v>5162150</v>
      </c>
      <c r="AL36" s="8">
        <v>8.4996298107456094E-3</v>
      </c>
    </row>
    <row r="37" spans="1:38" x14ac:dyDescent="0.2">
      <c r="A37" s="6" t="s">
        <v>70</v>
      </c>
      <c r="B37" s="6" t="s">
        <v>64</v>
      </c>
      <c r="C37" s="7">
        <v>1093556</v>
      </c>
      <c r="D37" s="7">
        <v>19978356.823333334</v>
      </c>
      <c r="E37" s="7">
        <v>425</v>
      </c>
      <c r="F37" s="7">
        <v>31416</v>
      </c>
      <c r="G37" s="7">
        <v>1079094</v>
      </c>
      <c r="H37" s="7">
        <v>38426537.339999996</v>
      </c>
      <c r="I37" s="7">
        <v>58436310.163333327</v>
      </c>
      <c r="J37" s="7">
        <v>1000</v>
      </c>
      <c r="K37" s="7">
        <v>1252</v>
      </c>
      <c r="L37" s="7">
        <v>0</v>
      </c>
      <c r="M37" s="7">
        <v>2252</v>
      </c>
      <c r="N37" s="7">
        <v>58438562.163333327</v>
      </c>
      <c r="O37" s="7">
        <v>33448769</v>
      </c>
      <c r="P37" s="7">
        <v>2095510</v>
      </c>
      <c r="Q37" s="7">
        <v>1254130.3600000001</v>
      </c>
      <c r="R37" s="7">
        <v>1650864</v>
      </c>
      <c r="S37" s="7">
        <v>2904994.3600000003</v>
      </c>
      <c r="T37" s="7">
        <v>45225806</v>
      </c>
      <c r="U37" s="7">
        <v>257062</v>
      </c>
      <c r="V37" s="7">
        <v>5396249.2800000003</v>
      </c>
      <c r="W37" s="7">
        <v>0</v>
      </c>
      <c r="X37" s="7">
        <v>5396249.2800000003</v>
      </c>
      <c r="Y37" s="7">
        <v>8301243.6400000006</v>
      </c>
      <c r="Z37" s="7">
        <v>556878</v>
      </c>
      <c r="AA37" s="7">
        <v>1104783</v>
      </c>
      <c r="AB37" s="7">
        <v>98820</v>
      </c>
      <c r="AC37" s="7">
        <v>546829</v>
      </c>
      <c r="AD37" s="7">
        <v>2307310</v>
      </c>
      <c r="AE37" s="7">
        <v>2309562</v>
      </c>
      <c r="AF37" s="7">
        <v>69047115.803333327</v>
      </c>
      <c r="AG37" s="7">
        <v>94762021</v>
      </c>
      <c r="AH37" s="7">
        <v>0</v>
      </c>
      <c r="AI37" s="7">
        <v>94762021</v>
      </c>
      <c r="AJ37" s="8">
        <v>0.72863701169198714</v>
      </c>
      <c r="AK37" s="7">
        <v>23827199</v>
      </c>
      <c r="AL37" s="8">
        <v>0.97338815910940502</v>
      </c>
    </row>
    <row r="38" spans="1:38" x14ac:dyDescent="0.2">
      <c r="A38" s="6" t="s">
        <v>64</v>
      </c>
      <c r="B38" s="6" t="s">
        <v>64</v>
      </c>
      <c r="C38" s="7">
        <v>626502</v>
      </c>
      <c r="D38" s="7">
        <v>11445669.455</v>
      </c>
      <c r="E38" s="7">
        <v>676</v>
      </c>
      <c r="F38" s="7">
        <v>49969.919999999998</v>
      </c>
      <c r="G38" s="7">
        <v>143917</v>
      </c>
      <c r="H38" s="7">
        <v>5124884.37</v>
      </c>
      <c r="I38" s="7">
        <v>16620523.745000001</v>
      </c>
      <c r="J38" s="7">
        <v>2019</v>
      </c>
      <c r="K38" s="7">
        <v>2507</v>
      </c>
      <c r="L38" s="7">
        <v>0</v>
      </c>
      <c r="M38" s="7">
        <v>4526</v>
      </c>
      <c r="N38" s="7">
        <v>16625049.745000001</v>
      </c>
      <c r="O38" s="7">
        <v>42381156</v>
      </c>
      <c r="P38" s="7">
        <v>1896669</v>
      </c>
      <c r="Q38" s="7">
        <v>1619379.48</v>
      </c>
      <c r="R38" s="7">
        <v>1644516</v>
      </c>
      <c r="S38" s="7">
        <v>3263895.48</v>
      </c>
      <c r="T38" s="7">
        <v>6411922</v>
      </c>
      <c r="U38" s="7">
        <v>61946</v>
      </c>
      <c r="V38" s="7">
        <v>761997.12</v>
      </c>
      <c r="W38" s="7">
        <v>0</v>
      </c>
      <c r="X38" s="7">
        <v>761997.12</v>
      </c>
      <c r="Y38" s="7">
        <v>4025892.6</v>
      </c>
      <c r="Z38" s="7">
        <v>1479851</v>
      </c>
      <c r="AA38" s="7">
        <v>2992905</v>
      </c>
      <c r="AB38" s="7">
        <v>394074</v>
      </c>
      <c r="AC38" s="7">
        <v>382404</v>
      </c>
      <c r="AD38" s="7">
        <v>5249234</v>
      </c>
      <c r="AE38" s="7">
        <v>5253760</v>
      </c>
      <c r="AF38" s="7">
        <v>25900176.344999999</v>
      </c>
      <c r="AG38" s="7">
        <v>144377832</v>
      </c>
      <c r="AH38" s="7">
        <v>0</v>
      </c>
      <c r="AI38" s="7">
        <v>144377832</v>
      </c>
      <c r="AJ38" s="8">
        <v>0.17939164195927251</v>
      </c>
      <c r="AK38" s="7">
        <v>56854477</v>
      </c>
      <c r="AL38" s="8">
        <v>0.29592302928743991</v>
      </c>
    </row>
    <row r="39" spans="1:38" x14ac:dyDescent="0.2">
      <c r="A39" s="6" t="s">
        <v>71</v>
      </c>
      <c r="B39" s="6" t="s">
        <v>64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204059</v>
      </c>
      <c r="P39" s="7">
        <v>0</v>
      </c>
      <c r="Q39" s="7">
        <v>8162.3600000000006</v>
      </c>
      <c r="R39" s="7">
        <v>524558</v>
      </c>
      <c r="S39" s="7">
        <v>532720.36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532720.36</v>
      </c>
      <c r="Z39" s="7">
        <v>0</v>
      </c>
      <c r="AA39" s="7">
        <v>0</v>
      </c>
      <c r="AB39" s="7">
        <v>0</v>
      </c>
      <c r="AC39" s="7">
        <v>8945</v>
      </c>
      <c r="AD39" s="7">
        <v>8945</v>
      </c>
      <c r="AE39" s="7">
        <v>8945</v>
      </c>
      <c r="AF39" s="7">
        <v>541665.36</v>
      </c>
      <c r="AG39" s="7">
        <v>7929395</v>
      </c>
      <c r="AH39" s="7">
        <v>0</v>
      </c>
      <c r="AI39" s="7">
        <v>7929395</v>
      </c>
      <c r="AJ39" s="8">
        <v>6.8311057779313553E-2</v>
      </c>
      <c r="AK39" s="7">
        <v>422202</v>
      </c>
      <c r="AL39" s="8">
        <v>7.2152848607995021E-2</v>
      </c>
    </row>
    <row r="40" spans="1:38" x14ac:dyDescent="0.2">
      <c r="A40" s="6" t="s">
        <v>72</v>
      </c>
      <c r="B40" s="6" t="s">
        <v>64</v>
      </c>
      <c r="C40" s="7">
        <v>708761</v>
      </c>
      <c r="D40" s="7">
        <v>12948472.835833333</v>
      </c>
      <c r="E40" s="7">
        <v>633</v>
      </c>
      <c r="F40" s="7">
        <v>46791.360000000001</v>
      </c>
      <c r="G40" s="7">
        <v>387718</v>
      </c>
      <c r="H40" s="7">
        <v>13806637.98</v>
      </c>
      <c r="I40" s="7">
        <v>26801902.175833333</v>
      </c>
      <c r="J40" s="7">
        <v>480</v>
      </c>
      <c r="K40" s="7">
        <v>589</v>
      </c>
      <c r="L40" s="7">
        <v>0</v>
      </c>
      <c r="M40" s="7">
        <v>1069</v>
      </c>
      <c r="N40" s="7">
        <v>26802971.175833333</v>
      </c>
      <c r="O40" s="7">
        <v>25356476</v>
      </c>
      <c r="P40" s="7">
        <v>5610690</v>
      </c>
      <c r="Q40" s="7">
        <v>789831.44000000006</v>
      </c>
      <c r="R40" s="7">
        <v>783371</v>
      </c>
      <c r="S40" s="7">
        <v>1573202.44</v>
      </c>
      <c r="T40" s="7">
        <v>18604716</v>
      </c>
      <c r="U40" s="7">
        <v>135254</v>
      </c>
      <c r="V40" s="7">
        <v>2216335.44</v>
      </c>
      <c r="W40" s="7">
        <v>0</v>
      </c>
      <c r="X40" s="7">
        <v>2216335.44</v>
      </c>
      <c r="Y40" s="7">
        <v>3789537.88</v>
      </c>
      <c r="Z40" s="7">
        <v>357802</v>
      </c>
      <c r="AA40" s="7">
        <v>721835</v>
      </c>
      <c r="AB40" s="7">
        <v>69600</v>
      </c>
      <c r="AC40" s="7">
        <v>209866</v>
      </c>
      <c r="AD40" s="7">
        <v>1359103</v>
      </c>
      <c r="AE40" s="7">
        <v>1360172</v>
      </c>
      <c r="AF40" s="7">
        <v>31951612.055833332</v>
      </c>
      <c r="AG40" s="7">
        <v>69859326</v>
      </c>
      <c r="AH40" s="7">
        <v>0</v>
      </c>
      <c r="AI40" s="7">
        <v>69859326</v>
      </c>
      <c r="AJ40" s="8">
        <v>0.45737074611675088</v>
      </c>
      <c r="AK40" s="7">
        <v>18950797</v>
      </c>
      <c r="AL40" s="8">
        <v>0.62762787853943558</v>
      </c>
    </row>
    <row r="41" spans="1:38" s="14" customFormat="1" x14ac:dyDescent="0.2">
      <c r="A41" s="14" t="s">
        <v>73</v>
      </c>
      <c r="C41" s="15">
        <v>22055777</v>
      </c>
      <c r="D41" s="15">
        <v>402940665.9758333</v>
      </c>
      <c r="E41" s="15">
        <v>17737</v>
      </c>
      <c r="F41" s="15">
        <v>1311119.0400000003</v>
      </c>
      <c r="G41" s="15">
        <v>12363000</v>
      </c>
      <c r="H41" s="15">
        <v>440246430</v>
      </c>
      <c r="I41" s="15">
        <v>844498215.01583326</v>
      </c>
      <c r="J41" s="16">
        <v>21321</v>
      </c>
      <c r="K41" s="15">
        <v>35370</v>
      </c>
      <c r="L41" s="15">
        <v>113</v>
      </c>
      <c r="M41" s="15">
        <v>56804</v>
      </c>
      <c r="N41" s="15">
        <v>844555019.01583326</v>
      </c>
      <c r="O41" s="15">
        <v>880829289</v>
      </c>
      <c r="P41" s="15">
        <v>62541943</v>
      </c>
      <c r="Q41" s="15">
        <v>32731493.840000007</v>
      </c>
      <c r="R41" s="15">
        <v>27453518</v>
      </c>
      <c r="S41" s="15">
        <v>60185011.840000004</v>
      </c>
      <c r="T41" s="15">
        <v>690526256</v>
      </c>
      <c r="U41" s="15">
        <v>11277428</v>
      </c>
      <c r="V41" s="15">
        <v>81509859.360000014</v>
      </c>
      <c r="W41" s="15">
        <v>38940</v>
      </c>
      <c r="X41" s="15">
        <v>81548799.360000014</v>
      </c>
      <c r="Y41" s="15">
        <v>141733811.20000002</v>
      </c>
      <c r="Z41" s="15">
        <v>37621625</v>
      </c>
      <c r="AA41" s="15">
        <v>38540495</v>
      </c>
      <c r="AB41" s="15">
        <v>2611669</v>
      </c>
      <c r="AC41" s="15">
        <v>6780706</v>
      </c>
      <c r="AD41" s="15">
        <v>85554495</v>
      </c>
      <c r="AE41" s="16">
        <v>85611299</v>
      </c>
      <c r="AF41" s="15">
        <v>1071843325.2158332</v>
      </c>
      <c r="AG41" s="15">
        <v>2645546319</v>
      </c>
      <c r="AH41" s="15">
        <v>0</v>
      </c>
      <c r="AI41" s="15">
        <v>2645546319</v>
      </c>
      <c r="AJ41" s="11">
        <f>AF41/AI41</f>
        <v>0.405150088478127</v>
      </c>
      <c r="AK41" s="15">
        <v>721999753</v>
      </c>
      <c r="AL41" s="11">
        <v>0.55722244741115001</v>
      </c>
    </row>
    <row r="42" spans="1:38" hidden="1" x14ac:dyDescent="0.2">
      <c r="D42" s="10">
        <v>402940665.97583336</v>
      </c>
      <c r="F42" s="10">
        <v>1311119.04</v>
      </c>
      <c r="H42" s="10">
        <v>440246430</v>
      </c>
      <c r="I42" s="10">
        <v>844498215.01583338</v>
      </c>
      <c r="N42" s="10">
        <v>844555019.01583338</v>
      </c>
      <c r="O42" s="12">
        <v>880829289</v>
      </c>
      <c r="P42" s="12">
        <v>62541943</v>
      </c>
      <c r="Q42" s="10">
        <v>32731493.84</v>
      </c>
      <c r="R42" s="12">
        <v>27453518</v>
      </c>
      <c r="S42" s="10">
        <v>60185011.840000004</v>
      </c>
      <c r="T42" s="12">
        <v>690526256</v>
      </c>
      <c r="U42" s="12">
        <v>11277428</v>
      </c>
      <c r="V42" s="10">
        <v>81509859.359999999</v>
      </c>
      <c r="W42" s="12">
        <v>38940</v>
      </c>
      <c r="X42" s="10">
        <v>81548799.359999999</v>
      </c>
      <c r="Y42" s="10">
        <v>141733811.19999999</v>
      </c>
      <c r="Z42" s="10">
        <v>37621625</v>
      </c>
      <c r="AA42" s="10">
        <v>38540495</v>
      </c>
      <c r="AB42" s="10">
        <v>2611669</v>
      </c>
      <c r="AC42" s="10">
        <v>6780706</v>
      </c>
      <c r="AD42" s="10">
        <v>85554495</v>
      </c>
      <c r="AE42" s="12">
        <v>85611299</v>
      </c>
      <c r="AF42" s="10">
        <v>1071843325.2158334</v>
      </c>
      <c r="AG42" s="12">
        <v>2645546319</v>
      </c>
      <c r="AJ42" s="11">
        <v>0.40515008847812711</v>
      </c>
      <c r="AK42" s="12">
        <v>721999753</v>
      </c>
    </row>
    <row r="43" spans="1:38" hidden="1" x14ac:dyDescent="0.2"/>
  </sheetData>
  <conditionalFormatting sqref="AJ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2026-05-12T14:54:33Z</dcterms:created>
  <dcterms:modified xsi:type="dcterms:W3CDTF">2026-05-12T14:56:25Z</dcterms:modified>
</cp:coreProperties>
</file>