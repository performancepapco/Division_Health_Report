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-27\All Channel Premium Collection Report\June-2026\"/>
    </mc:Choice>
  </mc:AlternateContent>
  <xr:revisionPtr revIDLastSave="0" documentId="13_ncr:1_{DFD32909-F58B-4A88-934F-A8EDA6F55A2A}" xr6:coauthVersionLast="47" xr6:coauthVersionMax="47" xr10:uidLastSave="{00000000-0000-0000-0000-000000000000}"/>
  <bookViews>
    <workbookView xWindow="-120" yWindow="-120" windowWidth="24240" windowHeight="13140" activeTab="2" xr2:uid="{CB8DB72E-A554-4AFB-847C-FDACB574798C}"/>
  </bookViews>
  <sheets>
    <sheet name="PLI (2)" sheetId="4" r:id="rId1"/>
    <sheet name="PLI" sheetId="1" r:id="rId2"/>
    <sheet name="RPLI (2)" sheetId="3" r:id="rId3"/>
    <sheet name="RPLI" sheetId="2" r:id="rId4"/>
  </sheets>
  <definedNames>
    <definedName name="_xlnm._FilterDatabase" localSheetId="1" hidden="1">PLI!$D$35:$L$35</definedName>
    <definedName name="_xlnm._FilterDatabase" localSheetId="0" hidden="1">'PLI (2)'!$D$35:$L$35</definedName>
    <definedName name="_xlnm._FilterDatabase" localSheetId="3" hidden="1">RPLI!$D$35:$L$35</definedName>
    <definedName name="_xlnm._FilterDatabase" localSheetId="2" hidden="1">'RPLI (2)'!$D$35:$L$35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4" l="1"/>
  <c r="L39" i="4" s="1"/>
  <c r="J39" i="4"/>
  <c r="G39" i="4"/>
  <c r="I39" i="4" s="1"/>
  <c r="K33" i="4"/>
  <c r="L33" i="4" s="1"/>
  <c r="J33" i="4"/>
  <c r="G33" i="4"/>
  <c r="I33" i="4" s="1"/>
  <c r="L37" i="1"/>
  <c r="L38" i="1"/>
  <c r="L39" i="1"/>
  <c r="L36" i="1"/>
  <c r="J37" i="1"/>
  <c r="J38" i="1"/>
  <c r="J39" i="1"/>
  <c r="J36" i="1"/>
  <c r="I37" i="1"/>
  <c r="I38" i="1"/>
  <c r="I39" i="1"/>
  <c r="I36" i="1"/>
  <c r="L3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4" i="1"/>
  <c r="J3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4" i="1"/>
  <c r="I3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4" i="1"/>
  <c r="K39" i="3" l="1"/>
  <c r="L39" i="3" s="1"/>
  <c r="J39" i="3"/>
  <c r="G39" i="3"/>
  <c r="I39" i="3" s="1"/>
  <c r="L36" i="3"/>
  <c r="J36" i="3"/>
  <c r="G36" i="3"/>
  <c r="I36" i="3" s="1"/>
  <c r="L37" i="3"/>
  <c r="J37" i="3"/>
  <c r="G37" i="3"/>
  <c r="I37" i="3" s="1"/>
  <c r="L38" i="3"/>
  <c r="J38" i="3"/>
  <c r="G38" i="3"/>
  <c r="I38" i="3" s="1"/>
  <c r="K33" i="3"/>
  <c r="L33" i="3" s="1"/>
  <c r="J33" i="3"/>
  <c r="G33" i="3"/>
  <c r="I33" i="3" s="1"/>
  <c r="L17" i="3"/>
  <c r="J17" i="3"/>
  <c r="G17" i="3"/>
  <c r="I17" i="3" s="1"/>
  <c r="L7" i="3"/>
  <c r="J7" i="3"/>
  <c r="G7" i="3"/>
  <c r="I7" i="3" s="1"/>
  <c r="L8" i="3"/>
  <c r="J8" i="3"/>
  <c r="G8" i="3"/>
  <c r="I8" i="3" s="1"/>
  <c r="L19" i="3"/>
  <c r="J19" i="3"/>
  <c r="G19" i="3"/>
  <c r="I19" i="3" s="1"/>
  <c r="L11" i="3"/>
  <c r="J11" i="3"/>
  <c r="G11" i="3"/>
  <c r="I11" i="3" s="1"/>
  <c r="L14" i="3"/>
  <c r="J14" i="3"/>
  <c r="G14" i="3"/>
  <c r="I14" i="3" s="1"/>
  <c r="L6" i="3"/>
  <c r="J6" i="3"/>
  <c r="G6" i="3"/>
  <c r="I6" i="3" s="1"/>
  <c r="L21" i="3"/>
  <c r="J21" i="3"/>
  <c r="G21" i="3"/>
  <c r="I21" i="3" s="1"/>
  <c r="L5" i="3"/>
  <c r="J5" i="3"/>
  <c r="G5" i="3"/>
  <c r="I5" i="3" s="1"/>
  <c r="L30" i="3"/>
  <c r="J30" i="3"/>
  <c r="G30" i="3"/>
  <c r="I30" i="3" s="1"/>
  <c r="L16" i="3"/>
  <c r="J16" i="3"/>
  <c r="G16" i="3"/>
  <c r="I16" i="3" s="1"/>
  <c r="L29" i="3"/>
  <c r="J29" i="3"/>
  <c r="G29" i="3"/>
  <c r="I29" i="3" s="1"/>
  <c r="L24" i="3"/>
  <c r="J24" i="3"/>
  <c r="G24" i="3"/>
  <c r="I24" i="3" s="1"/>
  <c r="L13" i="3"/>
  <c r="J13" i="3"/>
  <c r="G13" i="3"/>
  <c r="I13" i="3" s="1"/>
  <c r="L10" i="3"/>
  <c r="J10" i="3"/>
  <c r="G10" i="3"/>
  <c r="I10" i="3" s="1"/>
  <c r="L27" i="3"/>
  <c r="J27" i="3"/>
  <c r="G27" i="3"/>
  <c r="I27" i="3" s="1"/>
  <c r="L32" i="3"/>
  <c r="J32" i="3"/>
  <c r="G32" i="3"/>
  <c r="I32" i="3" s="1"/>
  <c r="L31" i="3"/>
  <c r="J31" i="3"/>
  <c r="G31" i="3"/>
  <c r="I31" i="3" s="1"/>
  <c r="L18" i="3"/>
  <c r="J18" i="3"/>
  <c r="G18" i="3"/>
  <c r="I18" i="3" s="1"/>
  <c r="L22" i="3"/>
  <c r="J22" i="3"/>
  <c r="G22" i="3"/>
  <c r="I22" i="3" s="1"/>
  <c r="L4" i="3"/>
  <c r="J4" i="3"/>
  <c r="G4" i="3"/>
  <c r="I4" i="3" s="1"/>
  <c r="L26" i="3"/>
  <c r="J26" i="3"/>
  <c r="G26" i="3"/>
  <c r="I26" i="3" s="1"/>
  <c r="L15" i="3"/>
  <c r="J15" i="3"/>
  <c r="G15" i="3"/>
  <c r="I15" i="3" s="1"/>
  <c r="L9" i="3"/>
  <c r="J9" i="3"/>
  <c r="G9" i="3"/>
  <c r="I9" i="3" s="1"/>
  <c r="L28" i="3"/>
  <c r="J28" i="3"/>
  <c r="G28" i="3"/>
  <c r="I28" i="3" s="1"/>
  <c r="L12" i="3"/>
  <c r="J12" i="3"/>
  <c r="G12" i="3"/>
  <c r="I12" i="3" s="1"/>
  <c r="L20" i="3"/>
  <c r="J20" i="3"/>
  <c r="G20" i="3"/>
  <c r="I20" i="3" s="1"/>
  <c r="L25" i="3"/>
  <c r="J25" i="3"/>
  <c r="G25" i="3"/>
  <c r="I25" i="3" s="1"/>
  <c r="L23" i="3"/>
  <c r="J23" i="3"/>
  <c r="G23" i="3"/>
  <c r="I23" i="3" s="1"/>
  <c r="L39" i="2"/>
  <c r="L37" i="2"/>
  <c r="L38" i="2"/>
  <c r="L36" i="2"/>
  <c r="L3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4" i="2"/>
  <c r="K39" i="2"/>
  <c r="K33" i="2"/>
  <c r="K39" i="1"/>
  <c r="K33" i="1"/>
  <c r="J37" i="2" l="1"/>
  <c r="J38" i="2"/>
  <c r="J39" i="2"/>
  <c r="J36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4" i="2"/>
  <c r="I37" i="2"/>
  <c r="I38" i="2"/>
  <c r="I39" i="2"/>
  <c r="I36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4" i="2"/>
  <c r="G37" i="2" l="1"/>
  <c r="G38" i="2"/>
  <c r="G39" i="2"/>
  <c r="G36" i="2"/>
  <c r="G37" i="1"/>
  <c r="G38" i="1"/>
  <c r="G39" i="1"/>
  <c r="G36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4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4" i="1"/>
</calcChain>
</file>

<file path=xl/sharedStrings.xml><?xml version="1.0" encoding="utf-8"?>
<sst xmlns="http://schemas.openxmlformats.org/spreadsheetml/2006/main" count="336" uniqueCount="47">
  <si>
    <t>S.No</t>
  </si>
  <si>
    <t>Region</t>
  </si>
  <si>
    <t>Divison</t>
  </si>
  <si>
    <t>No. of Regd sales force (DE/GDS/DA/FO)</t>
  </si>
  <si>
    <t>Total Target for FY 2026-27 (Rs. In Cr)</t>
  </si>
  <si>
    <t>% Achievement on proportionate Target</t>
  </si>
  <si>
    <t>% Achievement on actual Target</t>
  </si>
  <si>
    <t>YoY growth in comparision with previous year</t>
  </si>
  <si>
    <t>Kurnool</t>
  </si>
  <si>
    <t xml:space="preserve">Anantapur </t>
  </si>
  <si>
    <t xml:space="preserve">Chittoor </t>
  </si>
  <si>
    <t xml:space="preserve">Cuddapah </t>
  </si>
  <si>
    <t xml:space="preserve">Hindupur </t>
  </si>
  <si>
    <t xml:space="preserve">Kurnool </t>
  </si>
  <si>
    <t xml:space="preserve">Nandyal </t>
  </si>
  <si>
    <t xml:space="preserve">Proddatur </t>
  </si>
  <si>
    <t xml:space="preserve">Tirupati </t>
  </si>
  <si>
    <t>Vijayawada</t>
  </si>
  <si>
    <t xml:space="preserve">Bhimavaram </t>
  </si>
  <si>
    <t xml:space="preserve">Eluru </t>
  </si>
  <si>
    <t xml:space="preserve">Gudivada </t>
  </si>
  <si>
    <t xml:space="preserve">Gudur </t>
  </si>
  <si>
    <t xml:space="preserve">Guntur </t>
  </si>
  <si>
    <t xml:space="preserve">Machilipatnam </t>
  </si>
  <si>
    <t xml:space="preserve">Markapur  </t>
  </si>
  <si>
    <t xml:space="preserve">Narasaraopet </t>
  </si>
  <si>
    <t xml:space="preserve">Nellore </t>
  </si>
  <si>
    <t xml:space="preserve">Prakasam </t>
  </si>
  <si>
    <t xml:space="preserve">Tadepalligudem </t>
  </si>
  <si>
    <t xml:space="preserve">Tenali </t>
  </si>
  <si>
    <t xml:space="preserve">Vijayawada </t>
  </si>
  <si>
    <t>Visakhapatnam</t>
  </si>
  <si>
    <t xml:space="preserve">Amalapuram </t>
  </si>
  <si>
    <t xml:space="preserve">Anakapalle </t>
  </si>
  <si>
    <t xml:space="preserve">Kakinada </t>
  </si>
  <si>
    <t xml:space="preserve">Parvathipuram </t>
  </si>
  <si>
    <t xml:space="preserve">Rajahmundry </t>
  </si>
  <si>
    <t xml:space="preserve">Srikakulam </t>
  </si>
  <si>
    <t xml:space="preserve">Visakhapatnam </t>
  </si>
  <si>
    <t xml:space="preserve">Vizianagaram </t>
  </si>
  <si>
    <t>Grand total</t>
  </si>
  <si>
    <t>Total</t>
  </si>
  <si>
    <t>Proportionate target upto            June-26                 (Rs. In Cr)</t>
  </si>
  <si>
    <t>Achievement up to June-26 (Rs. In Cr)</t>
  </si>
  <si>
    <t>PLI Total  Business Premium up to the month of June 2026 for the FY 2026-27 ( Rs. In Cr.)</t>
  </si>
  <si>
    <t>Achievement up to June-25  (FY 2025-26) (Rs. In Cr)</t>
  </si>
  <si>
    <t>RPLI Total  Business Premium up to the month of June-2026 for the FY 2026-27 (Rs. In Cr.)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</si>
</sst>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Aptos"/>
      <family val="2"/>
    </font>
    <font>
      <b/>
      <sz val="14"/>
      <color theme="1"/>
      <name val="Aptos"/>
      <family val="2"/>
    </font>
    <font>
      <b/>
      <sz val="14"/>
      <name val="Aptos"/>
      <family val="2"/>
    </font>
    <font>
      <b/>
      <sz val="15"/>
      <color theme="1"/>
      <name val="Aptos"/>
      <family val="2"/>
    </font>
    <font>
      <b/>
      <sz val="15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E8D4-6165-48F1-9838-65CBA192EE51}">
  <dimension ref="B2:L39"/>
  <sheetViews>
    <sheetView topLeftCell="B24" workbookViewId="0">
      <selection activeCell="B2" sqref="B2:L39"/>
    </sheetView>
  </sheetViews>
  <sheetFormatPr defaultRowHeight="15" x14ac:dyDescent="0.25"/>
  <cols>
    <col min="2" max="2" width="9.85546875" customWidth="1"/>
    <col min="3" max="3" width="23.85546875" customWidth="1"/>
    <col min="4" max="5" width="25.140625" customWidth="1"/>
    <col min="6" max="6" width="14.5703125" customWidth="1"/>
    <col min="7" max="7" width="18.85546875" customWidth="1"/>
    <col min="8" max="8" width="18.5703125" customWidth="1"/>
    <col min="9" max="9" width="22.7109375" customWidth="1"/>
    <col min="10" max="11" width="19" customWidth="1"/>
    <col min="12" max="12" width="19.5703125" customWidth="1"/>
  </cols>
  <sheetData>
    <row r="2" spans="2:12" ht="26.25" x14ac:dyDescent="0.25">
      <c r="B2" s="23" t="s">
        <v>44</v>
      </c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2:12" ht="85.5" customHeight="1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42</v>
      </c>
      <c r="H3" s="2" t="s">
        <v>43</v>
      </c>
      <c r="I3" s="2" t="s">
        <v>5</v>
      </c>
      <c r="J3" s="2" t="s">
        <v>6</v>
      </c>
      <c r="K3" s="2" t="s">
        <v>45</v>
      </c>
      <c r="L3" s="2" t="s">
        <v>7</v>
      </c>
    </row>
    <row r="4" spans="2:12" ht="18.75" x14ac:dyDescent="0.25">
      <c r="B4" s="3">
        <v>1</v>
      </c>
      <c r="C4" s="3" t="s">
        <v>17</v>
      </c>
      <c r="D4" s="3" t="s">
        <v>30</v>
      </c>
      <c r="E4" s="3">
        <v>1005</v>
      </c>
      <c r="F4" s="4">
        <v>70.17</v>
      </c>
      <c r="G4" s="4">
        <v>17.5425</v>
      </c>
      <c r="H4" s="4">
        <v>12.698869999999998</v>
      </c>
      <c r="I4" s="4">
        <v>72.389169160609939</v>
      </c>
      <c r="J4" s="4">
        <v>18.097292290152485</v>
      </c>
      <c r="K4" s="4">
        <v>9.7317357999999992</v>
      </c>
      <c r="L4" s="4">
        <v>30.489259685820887</v>
      </c>
    </row>
    <row r="5" spans="2:12" ht="18.75" x14ac:dyDescent="0.25">
      <c r="B5" s="3">
        <v>2</v>
      </c>
      <c r="C5" s="3" t="s">
        <v>17</v>
      </c>
      <c r="D5" s="3" t="s">
        <v>18</v>
      </c>
      <c r="E5" s="3">
        <v>884</v>
      </c>
      <c r="F5" s="4">
        <v>44.76</v>
      </c>
      <c r="G5" s="4">
        <v>11.19</v>
      </c>
      <c r="H5" s="4">
        <v>7.9915653999999998</v>
      </c>
      <c r="I5" s="4">
        <v>71.41702770330653</v>
      </c>
      <c r="J5" s="4">
        <v>17.854256925826633</v>
      </c>
      <c r="K5" s="4">
        <v>5.8479151000000007</v>
      </c>
      <c r="L5" s="4">
        <v>36.65665905443803</v>
      </c>
    </row>
    <row r="6" spans="2:12" ht="18.75" x14ac:dyDescent="0.25">
      <c r="B6" s="3">
        <v>3</v>
      </c>
      <c r="C6" s="3" t="s">
        <v>17</v>
      </c>
      <c r="D6" s="3" t="s">
        <v>29</v>
      </c>
      <c r="E6" s="3">
        <v>725</v>
      </c>
      <c r="F6" s="4">
        <v>39.58</v>
      </c>
      <c r="G6" s="4">
        <v>9.8949999999999996</v>
      </c>
      <c r="H6" s="4">
        <v>6.9686187999999998</v>
      </c>
      <c r="I6" s="4">
        <v>70.425657402728646</v>
      </c>
      <c r="J6" s="4">
        <v>17.606414350682162</v>
      </c>
      <c r="K6" s="4">
        <v>5.5429919000000005</v>
      </c>
      <c r="L6" s="4">
        <v>25.719447650645115</v>
      </c>
    </row>
    <row r="7" spans="2:12" ht="18.75" x14ac:dyDescent="0.25">
      <c r="B7" s="3">
        <v>4</v>
      </c>
      <c r="C7" s="3" t="s">
        <v>8</v>
      </c>
      <c r="D7" s="3" t="s">
        <v>9</v>
      </c>
      <c r="E7" s="3">
        <v>1072</v>
      </c>
      <c r="F7" s="4">
        <v>48.310348742199999</v>
      </c>
      <c r="G7" s="4">
        <v>12.07758718555</v>
      </c>
      <c r="H7" s="4">
        <v>8.4946580000000012</v>
      </c>
      <c r="I7" s="4">
        <v>70.334064821848472</v>
      </c>
      <c r="J7" s="4">
        <v>17.583516205462118</v>
      </c>
      <c r="K7" s="4">
        <v>6.6387076999999994</v>
      </c>
      <c r="L7" s="4">
        <v>27.956499726595911</v>
      </c>
    </row>
    <row r="8" spans="2:12" ht="18.75" x14ac:dyDescent="0.25">
      <c r="B8" s="3">
        <v>5</v>
      </c>
      <c r="C8" s="3" t="s">
        <v>31</v>
      </c>
      <c r="D8" s="5" t="s">
        <v>33</v>
      </c>
      <c r="E8" s="5">
        <v>1054</v>
      </c>
      <c r="F8" s="4">
        <v>41</v>
      </c>
      <c r="G8" s="4">
        <v>10.25</v>
      </c>
      <c r="H8" s="4">
        <v>7.1296007000000001</v>
      </c>
      <c r="I8" s="4">
        <v>69.557079999999999</v>
      </c>
      <c r="J8" s="4">
        <v>17.38927</v>
      </c>
      <c r="K8" s="4">
        <v>5.1033891999999996</v>
      </c>
      <c r="L8" s="4">
        <v>39.703252497379601</v>
      </c>
    </row>
    <row r="9" spans="2:12" ht="18.75" x14ac:dyDescent="0.25">
      <c r="B9" s="3">
        <v>6</v>
      </c>
      <c r="C9" s="3" t="s">
        <v>17</v>
      </c>
      <c r="D9" s="3" t="s">
        <v>28</v>
      </c>
      <c r="E9" s="3">
        <v>528</v>
      </c>
      <c r="F9" s="4">
        <v>27.7</v>
      </c>
      <c r="G9" s="4">
        <v>6.9249999999999989</v>
      </c>
      <c r="H9" s="4">
        <v>4.7943755000000001</v>
      </c>
      <c r="I9" s="4">
        <v>69.232859205776194</v>
      </c>
      <c r="J9" s="4">
        <v>17.308214801444045</v>
      </c>
      <c r="K9" s="4">
        <v>3.2947465999999999</v>
      </c>
      <c r="L9" s="4">
        <v>45.515758328728538</v>
      </c>
    </row>
    <row r="10" spans="2:12" ht="18.75" x14ac:dyDescent="0.25">
      <c r="B10" s="3">
        <v>7</v>
      </c>
      <c r="C10" s="3" t="s">
        <v>8</v>
      </c>
      <c r="D10" s="3" t="s">
        <v>11</v>
      </c>
      <c r="E10" s="3">
        <v>804</v>
      </c>
      <c r="F10" s="4">
        <v>52.44617806490001</v>
      </c>
      <c r="G10" s="4">
        <v>13.111544516225003</v>
      </c>
      <c r="H10" s="4">
        <v>9.066801400000001</v>
      </c>
      <c r="I10" s="4">
        <v>69.151284112868652</v>
      </c>
      <c r="J10" s="4">
        <v>17.287821028217163</v>
      </c>
      <c r="K10" s="4">
        <v>6.6240361999999999</v>
      </c>
      <c r="L10" s="4">
        <v>36.877292427840317</v>
      </c>
    </row>
    <row r="11" spans="2:12" ht="18.75" x14ac:dyDescent="0.25">
      <c r="B11" s="3">
        <v>8</v>
      </c>
      <c r="C11" s="3" t="s">
        <v>31</v>
      </c>
      <c r="D11" s="5" t="s">
        <v>38</v>
      </c>
      <c r="E11" s="5">
        <v>858</v>
      </c>
      <c r="F11" s="4">
        <v>96</v>
      </c>
      <c r="G11" s="4">
        <v>24</v>
      </c>
      <c r="H11" s="4">
        <v>16.477812499999999</v>
      </c>
      <c r="I11" s="4">
        <v>68.657552083333329</v>
      </c>
      <c r="J11" s="4">
        <v>17.164388020833332</v>
      </c>
      <c r="K11" s="4">
        <v>12.747589600000001</v>
      </c>
      <c r="L11" s="4">
        <v>29.262182240319355</v>
      </c>
    </row>
    <row r="12" spans="2:12" ht="18.75" x14ac:dyDescent="0.25">
      <c r="B12" s="3">
        <v>9</v>
      </c>
      <c r="C12" s="3" t="s">
        <v>31</v>
      </c>
      <c r="D12" s="5" t="s">
        <v>37</v>
      </c>
      <c r="E12" s="5">
        <v>1181</v>
      </c>
      <c r="F12" s="4">
        <v>85</v>
      </c>
      <c r="G12" s="4">
        <v>21.25</v>
      </c>
      <c r="H12" s="4">
        <v>14.575641299999999</v>
      </c>
      <c r="I12" s="4">
        <v>68.591253176470573</v>
      </c>
      <c r="J12" s="4">
        <v>17.147813294117643</v>
      </c>
      <c r="K12" s="4">
        <v>11.458318700000001</v>
      </c>
      <c r="L12" s="4">
        <v>27.205759253318707</v>
      </c>
    </row>
    <row r="13" spans="2:12" ht="18.75" x14ac:dyDescent="0.25">
      <c r="B13" s="3">
        <v>10</v>
      </c>
      <c r="C13" s="3" t="s">
        <v>8</v>
      </c>
      <c r="D13" s="3" t="s">
        <v>16</v>
      </c>
      <c r="E13" s="3">
        <v>1119</v>
      </c>
      <c r="F13" s="4">
        <v>70.228634880399994</v>
      </c>
      <c r="G13" s="4">
        <v>17.557158720099999</v>
      </c>
      <c r="H13" s="4">
        <v>12.038029700000001</v>
      </c>
      <c r="I13" s="4">
        <v>68.564793950506797</v>
      </c>
      <c r="J13" s="4">
        <v>17.141198487626699</v>
      </c>
      <c r="K13" s="4">
        <v>9.0277320000000003</v>
      </c>
      <c r="L13" s="4">
        <v>33.345005146364564</v>
      </c>
    </row>
    <row r="14" spans="2:12" ht="18.75" x14ac:dyDescent="0.25">
      <c r="B14" s="3">
        <v>11</v>
      </c>
      <c r="C14" s="3" t="s">
        <v>31</v>
      </c>
      <c r="D14" s="5" t="s">
        <v>36</v>
      </c>
      <c r="E14" s="5">
        <v>887</v>
      </c>
      <c r="F14" s="4">
        <v>44</v>
      </c>
      <c r="G14" s="4">
        <v>11</v>
      </c>
      <c r="H14" s="4">
        <v>7.3735037999999999</v>
      </c>
      <c r="I14" s="4">
        <v>67.031852727272721</v>
      </c>
      <c r="J14" s="4">
        <v>16.75796318181818</v>
      </c>
      <c r="K14" s="4">
        <v>5.6437762000000005</v>
      </c>
      <c r="L14" s="4">
        <v>30.648408772835449</v>
      </c>
    </row>
    <row r="15" spans="2:12" ht="18.75" x14ac:dyDescent="0.25">
      <c r="B15" s="3">
        <v>12</v>
      </c>
      <c r="C15" s="3" t="s">
        <v>8</v>
      </c>
      <c r="D15" s="3" t="s">
        <v>13</v>
      </c>
      <c r="E15" s="3">
        <v>944</v>
      </c>
      <c r="F15" s="4">
        <v>54.1841919437</v>
      </c>
      <c r="G15" s="4">
        <v>13.546047985925</v>
      </c>
      <c r="H15" s="4">
        <v>9.0099689000000005</v>
      </c>
      <c r="I15" s="4">
        <v>66.513634894559615</v>
      </c>
      <c r="J15" s="4">
        <v>16.628408723639904</v>
      </c>
      <c r="K15" s="4">
        <v>7.3341681000000003</v>
      </c>
      <c r="L15" s="4">
        <v>22.849228121727947</v>
      </c>
    </row>
    <row r="16" spans="2:12" ht="18.75" x14ac:dyDescent="0.25">
      <c r="B16" s="3">
        <v>13</v>
      </c>
      <c r="C16" s="3" t="s">
        <v>8</v>
      </c>
      <c r="D16" s="3" t="s">
        <v>10</v>
      </c>
      <c r="E16" s="3">
        <v>758</v>
      </c>
      <c r="F16" s="4">
        <v>50.917369560400005</v>
      </c>
      <c r="G16" s="4">
        <v>12.729342390100001</v>
      </c>
      <c r="H16" s="4">
        <v>8.4625228000000003</v>
      </c>
      <c r="I16" s="4">
        <v>66.480439763970551</v>
      </c>
      <c r="J16" s="4">
        <v>16.620109940992638</v>
      </c>
      <c r="K16" s="4">
        <v>6.7942872000000003</v>
      </c>
      <c r="L16" s="4">
        <v>24.553504302850193</v>
      </c>
    </row>
    <row r="17" spans="2:12" ht="18.75" x14ac:dyDescent="0.25">
      <c r="B17" s="3">
        <v>14</v>
      </c>
      <c r="C17" s="3" t="s">
        <v>17</v>
      </c>
      <c r="D17" s="3" t="s">
        <v>22</v>
      </c>
      <c r="E17" s="3">
        <v>575</v>
      </c>
      <c r="F17" s="4">
        <v>46.81</v>
      </c>
      <c r="G17" s="4">
        <v>11.702500000000001</v>
      </c>
      <c r="H17" s="4">
        <v>7.7603324999999996</v>
      </c>
      <c r="I17" s="4">
        <v>66.313458662678897</v>
      </c>
      <c r="J17" s="4">
        <v>16.578364665669724</v>
      </c>
      <c r="K17" s="4">
        <v>6.4120042000000002</v>
      </c>
      <c r="L17" s="4">
        <v>21.028188035185622</v>
      </c>
    </row>
    <row r="18" spans="2:12" ht="18.75" x14ac:dyDescent="0.25">
      <c r="B18" s="3">
        <v>15</v>
      </c>
      <c r="C18" s="3" t="s">
        <v>31</v>
      </c>
      <c r="D18" s="5" t="s">
        <v>35</v>
      </c>
      <c r="E18" s="5">
        <v>759</v>
      </c>
      <c r="F18" s="4">
        <v>49</v>
      </c>
      <c r="G18" s="4">
        <v>12.25</v>
      </c>
      <c r="H18" s="4">
        <v>8.0453831999999998</v>
      </c>
      <c r="I18" s="4">
        <v>65.676597551020407</v>
      </c>
      <c r="J18" s="4">
        <v>16.419149387755102</v>
      </c>
      <c r="K18" s="4">
        <v>6.1092234000000003</v>
      </c>
      <c r="L18" s="4">
        <v>31.692404635260178</v>
      </c>
    </row>
    <row r="19" spans="2:12" ht="18.75" x14ac:dyDescent="0.25">
      <c r="B19" s="3">
        <v>16</v>
      </c>
      <c r="C19" s="3" t="s">
        <v>17</v>
      </c>
      <c r="D19" s="3" t="s">
        <v>23</v>
      </c>
      <c r="E19" s="3">
        <v>557</v>
      </c>
      <c r="F19" s="4">
        <v>36.44</v>
      </c>
      <c r="G19" s="4">
        <v>9.11</v>
      </c>
      <c r="H19" s="4">
        <v>5.9629894999999999</v>
      </c>
      <c r="I19" s="4">
        <v>65.45542810098793</v>
      </c>
      <c r="J19" s="4">
        <v>16.363857025246983</v>
      </c>
      <c r="K19" s="4">
        <v>4.3190153000000002</v>
      </c>
      <c r="L19" s="4">
        <v>38.063634551144091</v>
      </c>
    </row>
    <row r="20" spans="2:12" ht="18.75" x14ac:dyDescent="0.25">
      <c r="B20" s="3">
        <v>17</v>
      </c>
      <c r="C20" s="3" t="s">
        <v>31</v>
      </c>
      <c r="D20" s="5" t="s">
        <v>39</v>
      </c>
      <c r="E20" s="5">
        <v>735</v>
      </c>
      <c r="F20" s="4">
        <v>53</v>
      </c>
      <c r="G20" s="4">
        <v>13.25</v>
      </c>
      <c r="H20" s="4">
        <v>8.6161234000000011</v>
      </c>
      <c r="I20" s="4">
        <v>65.027346415094343</v>
      </c>
      <c r="J20" s="4">
        <v>16.256836603773586</v>
      </c>
      <c r="K20" s="4">
        <v>6.9040643000000008</v>
      </c>
      <c r="L20" s="4">
        <v>24.797844075699008</v>
      </c>
    </row>
    <row r="21" spans="2:12" ht="18.75" x14ac:dyDescent="0.25">
      <c r="B21" s="3">
        <v>18</v>
      </c>
      <c r="C21" s="3" t="s">
        <v>8</v>
      </c>
      <c r="D21" s="3" t="s">
        <v>14</v>
      </c>
      <c r="E21" s="3">
        <v>743</v>
      </c>
      <c r="F21" s="4">
        <v>34.599350364999999</v>
      </c>
      <c r="G21" s="4">
        <v>8.6498375912499998</v>
      </c>
      <c r="H21" s="4">
        <v>5.6151011000000004</v>
      </c>
      <c r="I21" s="4">
        <v>64.91568241327586</v>
      </c>
      <c r="J21" s="4">
        <v>16.228920603318965</v>
      </c>
      <c r="K21" s="4">
        <v>4.3022108000000001</v>
      </c>
      <c r="L21" s="4">
        <v>30.51664274563209</v>
      </c>
    </row>
    <row r="22" spans="2:12" ht="18.75" x14ac:dyDescent="0.25">
      <c r="B22" s="3">
        <v>19</v>
      </c>
      <c r="C22" s="3" t="s">
        <v>17</v>
      </c>
      <c r="D22" s="3" t="s">
        <v>19</v>
      </c>
      <c r="E22" s="3">
        <v>709</v>
      </c>
      <c r="F22" s="4">
        <v>36.75</v>
      </c>
      <c r="G22" s="4">
        <v>9.1875</v>
      </c>
      <c r="H22" s="4">
        <v>5.963631799999999</v>
      </c>
      <c r="I22" s="4">
        <v>64.910278095238084</v>
      </c>
      <c r="J22" s="4">
        <v>16.227569523809521</v>
      </c>
      <c r="K22" s="4">
        <v>4.6987286000000008</v>
      </c>
      <c r="L22" s="4">
        <v>26.920116220374972</v>
      </c>
    </row>
    <row r="23" spans="2:12" ht="18.75" x14ac:dyDescent="0.25">
      <c r="B23" s="3">
        <v>20</v>
      </c>
      <c r="C23" s="3" t="s">
        <v>17</v>
      </c>
      <c r="D23" s="3" t="s">
        <v>24</v>
      </c>
      <c r="E23" s="3">
        <v>888</v>
      </c>
      <c r="F23" s="4">
        <v>32.22</v>
      </c>
      <c r="G23" s="4">
        <v>8.0549999999999997</v>
      </c>
      <c r="H23" s="4">
        <v>5.1976822</v>
      </c>
      <c r="I23" s="4">
        <v>64.527401613904416</v>
      </c>
      <c r="J23" s="4">
        <v>16.131850403476104</v>
      </c>
      <c r="K23" s="4">
        <v>4.0110245999999998</v>
      </c>
      <c r="L23" s="4">
        <v>29.584899579025276</v>
      </c>
    </row>
    <row r="24" spans="2:12" ht="18.75" x14ac:dyDescent="0.25">
      <c r="B24" s="3">
        <v>21</v>
      </c>
      <c r="C24" s="3" t="s">
        <v>31</v>
      </c>
      <c r="D24" s="5" t="s">
        <v>32</v>
      </c>
      <c r="E24" s="5">
        <v>589</v>
      </c>
      <c r="F24" s="4">
        <v>28</v>
      </c>
      <c r="G24" s="4">
        <v>7</v>
      </c>
      <c r="H24" s="4">
        <v>4.5031687999999992</v>
      </c>
      <c r="I24" s="4">
        <v>64.330982857142843</v>
      </c>
      <c r="J24" s="4">
        <v>16.082745714285711</v>
      </c>
      <c r="K24" s="4">
        <v>3.3485740000000002</v>
      </c>
      <c r="L24" s="4">
        <v>34.480193658554327</v>
      </c>
    </row>
    <row r="25" spans="2:12" ht="18.75" x14ac:dyDescent="0.25">
      <c r="B25" s="3">
        <v>22</v>
      </c>
      <c r="C25" s="3" t="s">
        <v>17</v>
      </c>
      <c r="D25" s="3" t="s">
        <v>25</v>
      </c>
      <c r="E25" s="3">
        <v>948</v>
      </c>
      <c r="F25" s="4">
        <v>44.7</v>
      </c>
      <c r="G25" s="4">
        <v>11.175000000000001</v>
      </c>
      <c r="H25" s="4">
        <v>7.1221671000000013</v>
      </c>
      <c r="I25" s="4">
        <v>63.733038926174501</v>
      </c>
      <c r="J25" s="4">
        <v>15.933259731543625</v>
      </c>
      <c r="K25" s="4">
        <v>5.6324248000000008</v>
      </c>
      <c r="L25" s="4">
        <v>26.449395294190175</v>
      </c>
    </row>
    <row r="26" spans="2:12" ht="18.75" x14ac:dyDescent="0.25">
      <c r="B26" s="3">
        <v>23</v>
      </c>
      <c r="C26" s="3" t="s">
        <v>31</v>
      </c>
      <c r="D26" s="5" t="s">
        <v>34</v>
      </c>
      <c r="E26" s="5">
        <v>724</v>
      </c>
      <c r="F26" s="4">
        <v>48</v>
      </c>
      <c r="G26" s="4">
        <v>12</v>
      </c>
      <c r="H26" s="4">
        <v>7.5332514999999995</v>
      </c>
      <c r="I26" s="4">
        <v>62.777095833333327</v>
      </c>
      <c r="J26" s="4">
        <v>15.694273958333332</v>
      </c>
      <c r="K26" s="4">
        <v>6.1232925999999992</v>
      </c>
      <c r="L26" s="4">
        <v>23.026155895277657</v>
      </c>
    </row>
    <row r="27" spans="2:12" ht="18.75" x14ac:dyDescent="0.25">
      <c r="B27" s="3">
        <v>24</v>
      </c>
      <c r="C27" s="3" t="s">
        <v>8</v>
      </c>
      <c r="D27" s="3" t="s">
        <v>15</v>
      </c>
      <c r="E27" s="3">
        <v>677</v>
      </c>
      <c r="F27" s="4">
        <v>36.707496829099995</v>
      </c>
      <c r="G27" s="4">
        <v>9.1768742072749987</v>
      </c>
      <c r="H27" s="4">
        <v>5.6142704999999999</v>
      </c>
      <c r="I27" s="4">
        <v>61.178462003426695</v>
      </c>
      <c r="J27" s="4">
        <v>15.294615500856674</v>
      </c>
      <c r="K27" s="4">
        <v>4.3658288999999995</v>
      </c>
      <c r="L27" s="4">
        <v>28.595751885741578</v>
      </c>
    </row>
    <row r="28" spans="2:12" ht="18.75" x14ac:dyDescent="0.25">
      <c r="B28" s="3">
        <v>25</v>
      </c>
      <c r="C28" s="3" t="s">
        <v>17</v>
      </c>
      <c r="D28" s="3" t="s">
        <v>26</v>
      </c>
      <c r="E28" s="3">
        <v>996</v>
      </c>
      <c r="F28" s="4">
        <v>47.32</v>
      </c>
      <c r="G28" s="4">
        <v>11.83</v>
      </c>
      <c r="H28" s="4">
        <v>7.2365520999999999</v>
      </c>
      <c r="I28" s="4">
        <v>61.171192730346583</v>
      </c>
      <c r="J28" s="4">
        <v>15.292798182586646</v>
      </c>
      <c r="K28" s="4">
        <v>5.7059155999999991</v>
      </c>
      <c r="L28" s="4">
        <v>26.825431837793062</v>
      </c>
    </row>
    <row r="29" spans="2:12" ht="18.75" x14ac:dyDescent="0.25">
      <c r="B29" s="3">
        <v>26</v>
      </c>
      <c r="C29" s="3" t="s">
        <v>17</v>
      </c>
      <c r="D29" s="3" t="s">
        <v>27</v>
      </c>
      <c r="E29" s="3">
        <v>987</v>
      </c>
      <c r="F29" s="4">
        <v>43.61</v>
      </c>
      <c r="G29" s="4">
        <v>10.9025</v>
      </c>
      <c r="H29" s="4">
        <v>6.5807404000000007</v>
      </c>
      <c r="I29" s="4">
        <v>60.359921119009407</v>
      </c>
      <c r="J29" s="4">
        <v>15.089980279752352</v>
      </c>
      <c r="K29" s="4">
        <v>5.1839031999999996</v>
      </c>
      <c r="L29" s="4">
        <v>26.945665189118522</v>
      </c>
    </row>
    <row r="30" spans="2:12" ht="18.75" x14ac:dyDescent="0.25">
      <c r="B30" s="3">
        <v>27</v>
      </c>
      <c r="C30" s="3" t="s">
        <v>17</v>
      </c>
      <c r="D30" s="3" t="s">
        <v>21</v>
      </c>
      <c r="E30" s="3">
        <v>622</v>
      </c>
      <c r="F30" s="4">
        <v>29.62</v>
      </c>
      <c r="G30" s="4">
        <v>7.4049999999999994</v>
      </c>
      <c r="H30" s="4">
        <v>4.3941771000000003</v>
      </c>
      <c r="I30" s="4">
        <v>59.340676569885218</v>
      </c>
      <c r="J30" s="4">
        <v>14.835169142471303</v>
      </c>
      <c r="K30" s="4">
        <v>3.5397043000000004</v>
      </c>
      <c r="L30" s="4">
        <v>24.139666129738576</v>
      </c>
    </row>
    <row r="31" spans="2:12" ht="18.75" x14ac:dyDescent="0.25">
      <c r="B31" s="3">
        <v>28</v>
      </c>
      <c r="C31" s="3" t="s">
        <v>8</v>
      </c>
      <c r="D31" s="3" t="s">
        <v>12</v>
      </c>
      <c r="E31" s="3">
        <v>965</v>
      </c>
      <c r="F31" s="4">
        <v>38.606437918899999</v>
      </c>
      <c r="G31" s="4">
        <v>9.6516094797249998</v>
      </c>
      <c r="H31" s="4">
        <v>5.6324139999999998</v>
      </c>
      <c r="I31" s="4">
        <v>58.357251314735983</v>
      </c>
      <c r="J31" s="4">
        <v>14.589312828683996</v>
      </c>
      <c r="K31" s="4">
        <v>3.8278860999999997</v>
      </c>
      <c r="L31" s="4">
        <v>47.141629945572319</v>
      </c>
    </row>
    <row r="32" spans="2:12" ht="18.75" x14ac:dyDescent="0.25">
      <c r="B32" s="3">
        <v>29</v>
      </c>
      <c r="C32" s="3" t="s">
        <v>17</v>
      </c>
      <c r="D32" s="3" t="s">
        <v>20</v>
      </c>
      <c r="E32" s="3">
        <v>572</v>
      </c>
      <c r="F32" s="4">
        <v>30.32</v>
      </c>
      <c r="G32" s="4">
        <v>7.58</v>
      </c>
      <c r="H32" s="4">
        <v>4.3091688000000001</v>
      </c>
      <c r="I32" s="4">
        <v>56.849192612137202</v>
      </c>
      <c r="J32" s="4">
        <v>14.2122981530343</v>
      </c>
      <c r="K32" s="4">
        <v>3.378676</v>
      </c>
      <c r="L32" s="4">
        <v>27.540160702002797</v>
      </c>
    </row>
    <row r="33" spans="2:12" ht="27" customHeight="1" x14ac:dyDescent="0.25">
      <c r="B33" s="24" t="s">
        <v>40</v>
      </c>
      <c r="C33" s="25"/>
      <c r="D33" s="26"/>
      <c r="E33" s="1">
        <v>23865</v>
      </c>
      <c r="F33" s="6">
        <v>1360.0000083046002</v>
      </c>
      <c r="G33" s="6">
        <f t="shared" ref="G33" si="0">F33/12*3</f>
        <v>340.00000207615005</v>
      </c>
      <c r="H33" s="6">
        <v>225.1691228</v>
      </c>
      <c r="I33" s="12">
        <f>H33/G33*100</f>
        <v>66.226212183836608</v>
      </c>
      <c r="J33" s="12">
        <f t="shared" ref="J33" si="1">H33/F33*100</f>
        <v>16.556553045959152</v>
      </c>
      <c r="K33" s="12">
        <f>SUM(K4:K32)</f>
        <v>173.65187100000009</v>
      </c>
      <c r="L33" s="12">
        <f>(H33-K33)/K33*100</f>
        <v>29.666971915321248</v>
      </c>
    </row>
    <row r="34" spans="2:12" x14ac:dyDescent="0.25">
      <c r="D34" s="7"/>
      <c r="E34" s="8"/>
      <c r="F34" s="9"/>
      <c r="G34" s="8"/>
      <c r="H34" s="8"/>
      <c r="I34" s="8"/>
      <c r="J34" s="8"/>
      <c r="K34" s="8"/>
      <c r="L34" s="8"/>
    </row>
    <row r="35" spans="2:12" ht="83.25" customHeight="1" x14ac:dyDescent="0.25">
      <c r="D35" s="1" t="s">
        <v>1</v>
      </c>
      <c r="E35" s="2" t="s">
        <v>3</v>
      </c>
      <c r="F35" s="2" t="s">
        <v>4</v>
      </c>
      <c r="G35" s="2" t="s">
        <v>42</v>
      </c>
      <c r="H35" s="2" t="s">
        <v>43</v>
      </c>
      <c r="I35" s="2" t="s">
        <v>5</v>
      </c>
      <c r="J35" s="2" t="s">
        <v>6</v>
      </c>
      <c r="K35" s="2" t="s">
        <v>45</v>
      </c>
      <c r="L35" s="2" t="s">
        <v>7</v>
      </c>
    </row>
    <row r="36" spans="2:12" ht="18.75" x14ac:dyDescent="0.25">
      <c r="D36" s="3" t="s">
        <v>31</v>
      </c>
      <c r="E36" s="3">
        <v>6787</v>
      </c>
      <c r="F36" s="10">
        <v>444</v>
      </c>
      <c r="G36" s="10">
        <v>111</v>
      </c>
      <c r="H36" s="10">
        <v>74.25</v>
      </c>
      <c r="I36" s="10">
        <v>66.891891891891902</v>
      </c>
      <c r="J36" s="10">
        <v>16.722972972972975</v>
      </c>
      <c r="K36" s="10">
        <v>57.438228000000009</v>
      </c>
      <c r="L36" s="10">
        <v>29.269308238408726</v>
      </c>
    </row>
    <row r="37" spans="2:12" ht="18.75" x14ac:dyDescent="0.25">
      <c r="D37" s="3" t="s">
        <v>8</v>
      </c>
      <c r="E37" s="3">
        <v>7082</v>
      </c>
      <c r="F37" s="10">
        <v>386.0000083046001</v>
      </c>
      <c r="G37" s="10">
        <v>96.500002076150025</v>
      </c>
      <c r="H37" s="10">
        <v>63.940000000000005</v>
      </c>
      <c r="I37" s="10">
        <v>66.259065931981752</v>
      </c>
      <c r="J37" s="10">
        <v>16.564766482995438</v>
      </c>
      <c r="K37" s="10">
        <v>48.914856999999998</v>
      </c>
      <c r="L37" s="10">
        <v>30.716931258738029</v>
      </c>
    </row>
    <row r="38" spans="2:12" ht="18.75" x14ac:dyDescent="0.25">
      <c r="D38" s="3" t="s">
        <v>17</v>
      </c>
      <c r="E38" s="3">
        <v>9996</v>
      </c>
      <c r="F38" s="10">
        <v>530</v>
      </c>
      <c r="G38" s="10">
        <v>132.5</v>
      </c>
      <c r="H38" s="10">
        <v>86.98</v>
      </c>
      <c r="I38" s="10">
        <v>65.645283018867929</v>
      </c>
      <c r="J38" s="10">
        <v>16.411320754716982</v>
      </c>
      <c r="K38" s="10">
        <v>67.298785999999993</v>
      </c>
      <c r="L38" s="10">
        <v>29.244530503120835</v>
      </c>
    </row>
    <row r="39" spans="2:12" ht="29.25" customHeight="1" x14ac:dyDescent="0.25">
      <c r="D39" s="1" t="s">
        <v>41</v>
      </c>
      <c r="E39" s="1">
        <v>23865</v>
      </c>
      <c r="F39" s="6">
        <v>1360.0000083046002</v>
      </c>
      <c r="G39" s="6">
        <f t="shared" ref="G39" si="2">F39/12*3</f>
        <v>340.00000207615005</v>
      </c>
      <c r="H39" s="6">
        <v>225.17</v>
      </c>
      <c r="I39" s="13">
        <f t="shared" ref="I39" si="3">H39/G39*100</f>
        <v>66.226470183835033</v>
      </c>
      <c r="J39" s="13">
        <f t="shared" ref="J39" si="4">H39/F39*100</f>
        <v>16.556617545958758</v>
      </c>
      <c r="K39" s="11">
        <f>SUM(K36:K38)</f>
        <v>173.651871</v>
      </c>
      <c r="L39" s="13">
        <f t="shared" ref="L39" si="5">(H39-K39)/K39*100</f>
        <v>29.667477063924053</v>
      </c>
    </row>
  </sheetData>
  <mergeCells count="2">
    <mergeCell ref="B2:L2"/>
    <mergeCell ref="B33:D33"/>
  </mergeCells>
  <conditionalFormatting sqref="I4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6:I38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FB1D-0201-4C54-A3BB-ADEF765CD5BD}">
  <dimension ref="B2:L39"/>
  <sheetViews>
    <sheetView topLeftCell="B28" workbookViewId="0">
      <selection activeCell="K42" sqref="K42"/>
    </sheetView>
  </sheetViews>
  <sheetFormatPr defaultRowHeight="15" x14ac:dyDescent="0.25"/>
  <cols>
    <col min="2" max="2" width="9.85546875" customWidth="1"/>
    <col min="3" max="3" width="23.85546875" customWidth="1"/>
    <col min="4" max="5" width="25.140625" customWidth="1"/>
    <col min="6" max="6" width="14.5703125" customWidth="1"/>
    <col min="7" max="7" width="18.85546875" customWidth="1"/>
    <col min="8" max="8" width="18.5703125" customWidth="1"/>
    <col min="9" max="9" width="22.7109375" customWidth="1"/>
    <col min="10" max="11" width="19" customWidth="1"/>
    <col min="12" max="12" width="19.5703125" customWidth="1"/>
  </cols>
  <sheetData>
    <row r="2" spans="2:12" ht="26.25" x14ac:dyDescent="0.25">
      <c r="B2" s="23" t="s">
        <v>44</v>
      </c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2:12" ht="85.5" customHeight="1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42</v>
      </c>
      <c r="H3" s="2" t="s">
        <v>43</v>
      </c>
      <c r="I3" s="2" t="s">
        <v>5</v>
      </c>
      <c r="J3" s="2" t="s">
        <v>6</v>
      </c>
      <c r="K3" s="2" t="s">
        <v>45</v>
      </c>
      <c r="L3" s="2" t="s">
        <v>7</v>
      </c>
    </row>
    <row r="4" spans="2:12" ht="18.75" x14ac:dyDescent="0.25">
      <c r="B4" s="3">
        <v>1</v>
      </c>
      <c r="C4" s="3" t="s">
        <v>8</v>
      </c>
      <c r="D4" s="3" t="s">
        <v>9</v>
      </c>
      <c r="E4" s="3">
        <v>1072</v>
      </c>
      <c r="F4" s="4">
        <v>48.310348742199999</v>
      </c>
      <c r="G4" s="4">
        <f>F4/12*3</f>
        <v>12.07758718555</v>
      </c>
      <c r="H4" s="4">
        <v>8.4946580000000012</v>
      </c>
      <c r="I4" s="4">
        <f>H4/G4*100</f>
        <v>70.334064821848472</v>
      </c>
      <c r="J4" s="4">
        <f>H4/F4*100</f>
        <v>17.583516205462118</v>
      </c>
      <c r="K4" s="4">
        <v>6.6387076999999994</v>
      </c>
      <c r="L4" s="4">
        <f>(H4-K4)/K4*100</f>
        <v>27.956499726595911</v>
      </c>
    </row>
    <row r="5" spans="2:12" ht="18.75" x14ac:dyDescent="0.25">
      <c r="B5" s="3">
        <v>2</v>
      </c>
      <c r="C5" s="3" t="s">
        <v>8</v>
      </c>
      <c r="D5" s="3" t="s">
        <v>10</v>
      </c>
      <c r="E5" s="3">
        <v>758</v>
      </c>
      <c r="F5" s="4">
        <v>50.917369560400005</v>
      </c>
      <c r="G5" s="4">
        <f t="shared" ref="G5:G33" si="0">F5/12*3</f>
        <v>12.729342390100001</v>
      </c>
      <c r="H5" s="4">
        <v>8.4625228000000003</v>
      </c>
      <c r="I5" s="4">
        <f t="shared" ref="I5:I32" si="1">H5/G5*100</f>
        <v>66.480439763970551</v>
      </c>
      <c r="J5" s="4">
        <f t="shared" ref="J5:J33" si="2">H5/F5*100</f>
        <v>16.620109940992638</v>
      </c>
      <c r="K5" s="4">
        <v>6.7942872000000003</v>
      </c>
      <c r="L5" s="4">
        <f t="shared" ref="L5:L32" si="3">(H5-K5)/K5*100</f>
        <v>24.553504302850193</v>
      </c>
    </row>
    <row r="6" spans="2:12" ht="18.75" x14ac:dyDescent="0.25">
      <c r="B6" s="3">
        <v>3</v>
      </c>
      <c r="C6" s="3" t="s">
        <v>8</v>
      </c>
      <c r="D6" s="3" t="s">
        <v>11</v>
      </c>
      <c r="E6" s="3">
        <v>804</v>
      </c>
      <c r="F6" s="4">
        <v>52.44617806490001</v>
      </c>
      <c r="G6" s="4">
        <f t="shared" si="0"/>
        <v>13.111544516225003</v>
      </c>
      <c r="H6" s="4">
        <v>9.066801400000001</v>
      </c>
      <c r="I6" s="4">
        <f t="shared" si="1"/>
        <v>69.151284112868652</v>
      </c>
      <c r="J6" s="4">
        <f t="shared" si="2"/>
        <v>17.287821028217163</v>
      </c>
      <c r="K6" s="4">
        <v>6.6240361999999999</v>
      </c>
      <c r="L6" s="4">
        <f t="shared" si="3"/>
        <v>36.877292427840317</v>
      </c>
    </row>
    <row r="7" spans="2:12" ht="18.75" x14ac:dyDescent="0.25">
      <c r="B7" s="3">
        <v>4</v>
      </c>
      <c r="C7" s="3" t="s">
        <v>8</v>
      </c>
      <c r="D7" s="3" t="s">
        <v>12</v>
      </c>
      <c r="E7" s="3">
        <v>965</v>
      </c>
      <c r="F7" s="4">
        <v>38.606437918899999</v>
      </c>
      <c r="G7" s="4">
        <f t="shared" si="0"/>
        <v>9.6516094797249998</v>
      </c>
      <c r="H7" s="4">
        <v>5.6324139999999998</v>
      </c>
      <c r="I7" s="4">
        <f t="shared" si="1"/>
        <v>58.357251314735983</v>
      </c>
      <c r="J7" s="4">
        <f t="shared" si="2"/>
        <v>14.589312828683996</v>
      </c>
      <c r="K7" s="4">
        <v>3.8278860999999997</v>
      </c>
      <c r="L7" s="4">
        <f t="shared" si="3"/>
        <v>47.141629945572319</v>
      </c>
    </row>
    <row r="8" spans="2:12" ht="18.75" x14ac:dyDescent="0.25">
      <c r="B8" s="3">
        <v>5</v>
      </c>
      <c r="C8" s="3" t="s">
        <v>8</v>
      </c>
      <c r="D8" s="3" t="s">
        <v>13</v>
      </c>
      <c r="E8" s="3">
        <v>944</v>
      </c>
      <c r="F8" s="4">
        <v>54.1841919437</v>
      </c>
      <c r="G8" s="4">
        <f t="shared" si="0"/>
        <v>13.546047985925</v>
      </c>
      <c r="H8" s="4">
        <v>9.0099689000000005</v>
      </c>
      <c r="I8" s="4">
        <f t="shared" si="1"/>
        <v>66.513634894559615</v>
      </c>
      <c r="J8" s="4">
        <f t="shared" si="2"/>
        <v>16.628408723639904</v>
      </c>
      <c r="K8" s="4">
        <v>7.3341681000000003</v>
      </c>
      <c r="L8" s="4">
        <f t="shared" si="3"/>
        <v>22.849228121727947</v>
      </c>
    </row>
    <row r="9" spans="2:12" ht="18.75" x14ac:dyDescent="0.25">
      <c r="B9" s="3">
        <v>6</v>
      </c>
      <c r="C9" s="3" t="s">
        <v>8</v>
      </c>
      <c r="D9" s="3" t="s">
        <v>14</v>
      </c>
      <c r="E9" s="3">
        <v>743</v>
      </c>
      <c r="F9" s="4">
        <v>34.599350364999999</v>
      </c>
      <c r="G9" s="4">
        <f t="shared" si="0"/>
        <v>8.6498375912499998</v>
      </c>
      <c r="H9" s="4">
        <v>5.6151011000000004</v>
      </c>
      <c r="I9" s="4">
        <f t="shared" si="1"/>
        <v>64.91568241327586</v>
      </c>
      <c r="J9" s="4">
        <f t="shared" si="2"/>
        <v>16.228920603318965</v>
      </c>
      <c r="K9" s="4">
        <v>4.3022108000000001</v>
      </c>
      <c r="L9" s="4">
        <f t="shared" si="3"/>
        <v>30.51664274563209</v>
      </c>
    </row>
    <row r="10" spans="2:12" ht="18.75" x14ac:dyDescent="0.25">
      <c r="B10" s="3">
        <v>7</v>
      </c>
      <c r="C10" s="3" t="s">
        <v>8</v>
      </c>
      <c r="D10" s="3" t="s">
        <v>15</v>
      </c>
      <c r="E10" s="3">
        <v>677</v>
      </c>
      <c r="F10" s="4">
        <v>36.707496829099995</v>
      </c>
      <c r="G10" s="4">
        <f t="shared" si="0"/>
        <v>9.1768742072749987</v>
      </c>
      <c r="H10" s="4">
        <v>5.6142704999999999</v>
      </c>
      <c r="I10" s="4">
        <f t="shared" si="1"/>
        <v>61.178462003426695</v>
      </c>
      <c r="J10" s="4">
        <f t="shared" si="2"/>
        <v>15.294615500856674</v>
      </c>
      <c r="K10" s="4">
        <v>4.3658288999999995</v>
      </c>
      <c r="L10" s="4">
        <f t="shared" si="3"/>
        <v>28.595751885741578</v>
      </c>
    </row>
    <row r="11" spans="2:12" ht="18.75" x14ac:dyDescent="0.25">
      <c r="B11" s="3">
        <v>8</v>
      </c>
      <c r="C11" s="3" t="s">
        <v>8</v>
      </c>
      <c r="D11" s="3" t="s">
        <v>16</v>
      </c>
      <c r="E11" s="3">
        <v>1119</v>
      </c>
      <c r="F11" s="4">
        <v>70.228634880399994</v>
      </c>
      <c r="G11" s="4">
        <f t="shared" si="0"/>
        <v>17.557158720099999</v>
      </c>
      <c r="H11" s="4">
        <v>12.038029700000001</v>
      </c>
      <c r="I11" s="4">
        <f t="shared" si="1"/>
        <v>68.564793950506797</v>
      </c>
      <c r="J11" s="4">
        <f t="shared" si="2"/>
        <v>17.141198487626699</v>
      </c>
      <c r="K11" s="4">
        <v>9.0277320000000003</v>
      </c>
      <c r="L11" s="4">
        <f t="shared" si="3"/>
        <v>33.345005146364564</v>
      </c>
    </row>
    <row r="12" spans="2:12" ht="18.75" x14ac:dyDescent="0.25">
      <c r="B12" s="3">
        <v>9</v>
      </c>
      <c r="C12" s="3" t="s">
        <v>17</v>
      </c>
      <c r="D12" s="3" t="s">
        <v>18</v>
      </c>
      <c r="E12" s="3">
        <v>884</v>
      </c>
      <c r="F12" s="4">
        <v>44.76</v>
      </c>
      <c r="G12" s="4">
        <f t="shared" si="0"/>
        <v>11.19</v>
      </c>
      <c r="H12" s="4">
        <v>7.9915653999999998</v>
      </c>
      <c r="I12" s="4">
        <f t="shared" si="1"/>
        <v>71.41702770330653</v>
      </c>
      <c r="J12" s="4">
        <f t="shared" si="2"/>
        <v>17.854256925826633</v>
      </c>
      <c r="K12" s="4">
        <v>5.8479151000000007</v>
      </c>
      <c r="L12" s="4">
        <f t="shared" si="3"/>
        <v>36.65665905443803</v>
      </c>
    </row>
    <row r="13" spans="2:12" ht="18.75" x14ac:dyDescent="0.25">
      <c r="B13" s="3">
        <v>10</v>
      </c>
      <c r="C13" s="3" t="s">
        <v>17</v>
      </c>
      <c r="D13" s="3" t="s">
        <v>19</v>
      </c>
      <c r="E13" s="3">
        <v>709</v>
      </c>
      <c r="F13" s="4">
        <v>36.75</v>
      </c>
      <c r="G13" s="4">
        <f t="shared" si="0"/>
        <v>9.1875</v>
      </c>
      <c r="H13" s="4">
        <v>5.963631799999999</v>
      </c>
      <c r="I13" s="4">
        <f t="shared" si="1"/>
        <v>64.910278095238084</v>
      </c>
      <c r="J13" s="4">
        <f t="shared" si="2"/>
        <v>16.227569523809521</v>
      </c>
      <c r="K13" s="4">
        <v>4.6987286000000008</v>
      </c>
      <c r="L13" s="4">
        <f t="shared" si="3"/>
        <v>26.920116220374972</v>
      </c>
    </row>
    <row r="14" spans="2:12" ht="18.75" x14ac:dyDescent="0.25">
      <c r="B14" s="3">
        <v>11</v>
      </c>
      <c r="C14" s="3" t="s">
        <v>17</v>
      </c>
      <c r="D14" s="3" t="s">
        <v>20</v>
      </c>
      <c r="E14" s="3">
        <v>572</v>
      </c>
      <c r="F14" s="4">
        <v>30.32</v>
      </c>
      <c r="G14" s="4">
        <f t="shared" si="0"/>
        <v>7.58</v>
      </c>
      <c r="H14" s="4">
        <v>4.3091688000000001</v>
      </c>
      <c r="I14" s="4">
        <f t="shared" si="1"/>
        <v>56.849192612137202</v>
      </c>
      <c r="J14" s="4">
        <f t="shared" si="2"/>
        <v>14.2122981530343</v>
      </c>
      <c r="K14" s="4">
        <v>3.378676</v>
      </c>
      <c r="L14" s="4">
        <f t="shared" si="3"/>
        <v>27.540160702002797</v>
      </c>
    </row>
    <row r="15" spans="2:12" ht="18.75" x14ac:dyDescent="0.25">
      <c r="B15" s="3">
        <v>12</v>
      </c>
      <c r="C15" s="3" t="s">
        <v>17</v>
      </c>
      <c r="D15" s="3" t="s">
        <v>21</v>
      </c>
      <c r="E15" s="3">
        <v>622</v>
      </c>
      <c r="F15" s="4">
        <v>29.62</v>
      </c>
      <c r="G15" s="4">
        <f t="shared" si="0"/>
        <v>7.4049999999999994</v>
      </c>
      <c r="H15" s="4">
        <v>4.3941771000000003</v>
      </c>
      <c r="I15" s="4">
        <f t="shared" si="1"/>
        <v>59.340676569885218</v>
      </c>
      <c r="J15" s="4">
        <f t="shared" si="2"/>
        <v>14.835169142471303</v>
      </c>
      <c r="K15" s="4">
        <v>3.5397043000000004</v>
      </c>
      <c r="L15" s="4">
        <f t="shared" si="3"/>
        <v>24.139666129738576</v>
      </c>
    </row>
    <row r="16" spans="2:12" ht="18.75" x14ac:dyDescent="0.25">
      <c r="B16" s="3">
        <v>13</v>
      </c>
      <c r="C16" s="3" t="s">
        <v>17</v>
      </c>
      <c r="D16" s="3" t="s">
        <v>22</v>
      </c>
      <c r="E16" s="3">
        <v>575</v>
      </c>
      <c r="F16" s="4">
        <v>46.81</v>
      </c>
      <c r="G16" s="4">
        <f t="shared" si="0"/>
        <v>11.702500000000001</v>
      </c>
      <c r="H16" s="4">
        <v>7.7603324999999996</v>
      </c>
      <c r="I16" s="4">
        <f t="shared" si="1"/>
        <v>66.313458662678897</v>
      </c>
      <c r="J16" s="4">
        <f t="shared" si="2"/>
        <v>16.578364665669724</v>
      </c>
      <c r="K16" s="4">
        <v>6.4120042000000002</v>
      </c>
      <c r="L16" s="4">
        <f t="shared" si="3"/>
        <v>21.028188035185622</v>
      </c>
    </row>
    <row r="17" spans="2:12" ht="18.75" x14ac:dyDescent="0.25">
      <c r="B17" s="3">
        <v>14</v>
      </c>
      <c r="C17" s="3" t="s">
        <v>17</v>
      </c>
      <c r="D17" s="3" t="s">
        <v>23</v>
      </c>
      <c r="E17" s="3">
        <v>557</v>
      </c>
      <c r="F17" s="4">
        <v>36.44</v>
      </c>
      <c r="G17" s="4">
        <f t="shared" si="0"/>
        <v>9.11</v>
      </c>
      <c r="H17" s="4">
        <v>5.9629894999999999</v>
      </c>
      <c r="I17" s="4">
        <f t="shared" si="1"/>
        <v>65.45542810098793</v>
      </c>
      <c r="J17" s="4">
        <f t="shared" si="2"/>
        <v>16.363857025246983</v>
      </c>
      <c r="K17" s="4">
        <v>4.3190153000000002</v>
      </c>
      <c r="L17" s="4">
        <f t="shared" si="3"/>
        <v>38.063634551144091</v>
      </c>
    </row>
    <row r="18" spans="2:12" ht="18.75" x14ac:dyDescent="0.25">
      <c r="B18" s="3">
        <v>15</v>
      </c>
      <c r="C18" s="3" t="s">
        <v>17</v>
      </c>
      <c r="D18" s="3" t="s">
        <v>24</v>
      </c>
      <c r="E18" s="3">
        <v>888</v>
      </c>
      <c r="F18" s="4">
        <v>32.22</v>
      </c>
      <c r="G18" s="4">
        <f t="shared" si="0"/>
        <v>8.0549999999999997</v>
      </c>
      <c r="H18" s="4">
        <v>5.1976822</v>
      </c>
      <c r="I18" s="4">
        <f t="shared" si="1"/>
        <v>64.527401613904416</v>
      </c>
      <c r="J18" s="4">
        <f t="shared" si="2"/>
        <v>16.131850403476104</v>
      </c>
      <c r="K18" s="4">
        <v>4.0110245999999998</v>
      </c>
      <c r="L18" s="4">
        <f t="shared" si="3"/>
        <v>29.584899579025276</v>
      </c>
    </row>
    <row r="19" spans="2:12" ht="18.75" x14ac:dyDescent="0.25">
      <c r="B19" s="3">
        <v>16</v>
      </c>
      <c r="C19" s="3" t="s">
        <v>17</v>
      </c>
      <c r="D19" s="3" t="s">
        <v>25</v>
      </c>
      <c r="E19" s="3">
        <v>948</v>
      </c>
      <c r="F19" s="4">
        <v>44.7</v>
      </c>
      <c r="G19" s="4">
        <f t="shared" si="0"/>
        <v>11.175000000000001</v>
      </c>
      <c r="H19" s="4">
        <v>7.1221671000000013</v>
      </c>
      <c r="I19" s="4">
        <f t="shared" si="1"/>
        <v>63.733038926174501</v>
      </c>
      <c r="J19" s="4">
        <f t="shared" si="2"/>
        <v>15.933259731543625</v>
      </c>
      <c r="K19" s="4">
        <v>5.6324248000000008</v>
      </c>
      <c r="L19" s="4">
        <f t="shared" si="3"/>
        <v>26.449395294190175</v>
      </c>
    </row>
    <row r="20" spans="2:12" ht="18.75" x14ac:dyDescent="0.25">
      <c r="B20" s="3">
        <v>17</v>
      </c>
      <c r="C20" s="3" t="s">
        <v>17</v>
      </c>
      <c r="D20" s="3" t="s">
        <v>26</v>
      </c>
      <c r="E20" s="3">
        <v>996</v>
      </c>
      <c r="F20" s="4">
        <v>47.32</v>
      </c>
      <c r="G20" s="4">
        <f t="shared" si="0"/>
        <v>11.83</v>
      </c>
      <c r="H20" s="4">
        <v>7.2365520999999999</v>
      </c>
      <c r="I20" s="4">
        <f t="shared" si="1"/>
        <v>61.171192730346583</v>
      </c>
      <c r="J20" s="4">
        <f t="shared" si="2"/>
        <v>15.292798182586646</v>
      </c>
      <c r="K20" s="4">
        <v>5.7059155999999991</v>
      </c>
      <c r="L20" s="4">
        <f t="shared" si="3"/>
        <v>26.825431837793062</v>
      </c>
    </row>
    <row r="21" spans="2:12" ht="18.75" x14ac:dyDescent="0.25">
      <c r="B21" s="3">
        <v>18</v>
      </c>
      <c r="C21" s="3" t="s">
        <v>17</v>
      </c>
      <c r="D21" s="3" t="s">
        <v>27</v>
      </c>
      <c r="E21" s="3">
        <v>987</v>
      </c>
      <c r="F21" s="4">
        <v>43.61</v>
      </c>
      <c r="G21" s="4">
        <f t="shared" si="0"/>
        <v>10.9025</v>
      </c>
      <c r="H21" s="4">
        <v>6.5807404000000007</v>
      </c>
      <c r="I21" s="4">
        <f t="shared" si="1"/>
        <v>60.359921119009407</v>
      </c>
      <c r="J21" s="4">
        <f t="shared" si="2"/>
        <v>15.089980279752352</v>
      </c>
      <c r="K21" s="4">
        <v>5.1839031999999996</v>
      </c>
      <c r="L21" s="4">
        <f t="shared" si="3"/>
        <v>26.945665189118522</v>
      </c>
    </row>
    <row r="22" spans="2:12" ht="18.75" x14ac:dyDescent="0.25">
      <c r="B22" s="3">
        <v>19</v>
      </c>
      <c r="C22" s="3" t="s">
        <v>17</v>
      </c>
      <c r="D22" s="3" t="s">
        <v>28</v>
      </c>
      <c r="E22" s="3">
        <v>528</v>
      </c>
      <c r="F22" s="4">
        <v>27.7</v>
      </c>
      <c r="G22" s="4">
        <f t="shared" si="0"/>
        <v>6.9249999999999989</v>
      </c>
      <c r="H22" s="4">
        <v>4.7943755000000001</v>
      </c>
      <c r="I22" s="4">
        <f t="shared" si="1"/>
        <v>69.232859205776194</v>
      </c>
      <c r="J22" s="4">
        <f t="shared" si="2"/>
        <v>17.308214801444045</v>
      </c>
      <c r="K22" s="4">
        <v>3.2947465999999999</v>
      </c>
      <c r="L22" s="4">
        <f t="shared" si="3"/>
        <v>45.515758328728538</v>
      </c>
    </row>
    <row r="23" spans="2:12" ht="18.75" x14ac:dyDescent="0.25">
      <c r="B23" s="3">
        <v>20</v>
      </c>
      <c r="C23" s="3" t="s">
        <v>17</v>
      </c>
      <c r="D23" s="3" t="s">
        <v>29</v>
      </c>
      <c r="E23" s="3">
        <v>725</v>
      </c>
      <c r="F23" s="4">
        <v>39.58</v>
      </c>
      <c r="G23" s="4">
        <f t="shared" si="0"/>
        <v>9.8949999999999996</v>
      </c>
      <c r="H23" s="4">
        <v>6.9686187999999998</v>
      </c>
      <c r="I23" s="4">
        <f t="shared" si="1"/>
        <v>70.425657402728646</v>
      </c>
      <c r="J23" s="4">
        <f t="shared" si="2"/>
        <v>17.606414350682162</v>
      </c>
      <c r="K23" s="4">
        <v>5.5429919000000005</v>
      </c>
      <c r="L23" s="4">
        <f t="shared" si="3"/>
        <v>25.719447650645115</v>
      </c>
    </row>
    <row r="24" spans="2:12" ht="18.75" x14ac:dyDescent="0.25">
      <c r="B24" s="3">
        <v>21</v>
      </c>
      <c r="C24" s="3" t="s">
        <v>17</v>
      </c>
      <c r="D24" s="3" t="s">
        <v>30</v>
      </c>
      <c r="E24" s="3">
        <v>1005</v>
      </c>
      <c r="F24" s="4">
        <v>70.17</v>
      </c>
      <c r="G24" s="4">
        <f t="shared" si="0"/>
        <v>17.5425</v>
      </c>
      <c r="H24" s="4">
        <v>12.698869999999998</v>
      </c>
      <c r="I24" s="4">
        <f t="shared" si="1"/>
        <v>72.389169160609939</v>
      </c>
      <c r="J24" s="4">
        <f t="shared" si="2"/>
        <v>18.097292290152485</v>
      </c>
      <c r="K24" s="4">
        <v>9.7317357999999992</v>
      </c>
      <c r="L24" s="4">
        <f t="shared" si="3"/>
        <v>30.489259685820887</v>
      </c>
    </row>
    <row r="25" spans="2:12" ht="18.75" x14ac:dyDescent="0.25">
      <c r="B25" s="3">
        <v>22</v>
      </c>
      <c r="C25" s="3" t="s">
        <v>31</v>
      </c>
      <c r="D25" s="5" t="s">
        <v>32</v>
      </c>
      <c r="E25" s="5">
        <v>589</v>
      </c>
      <c r="F25" s="4">
        <v>28</v>
      </c>
      <c r="G25" s="4">
        <f t="shared" si="0"/>
        <v>7</v>
      </c>
      <c r="H25" s="4">
        <v>4.5031687999999992</v>
      </c>
      <c r="I25" s="4">
        <f t="shared" si="1"/>
        <v>64.330982857142843</v>
      </c>
      <c r="J25" s="4">
        <f t="shared" si="2"/>
        <v>16.082745714285711</v>
      </c>
      <c r="K25" s="4">
        <v>3.3485740000000002</v>
      </c>
      <c r="L25" s="4">
        <f t="shared" si="3"/>
        <v>34.480193658554327</v>
      </c>
    </row>
    <row r="26" spans="2:12" ht="18.75" x14ac:dyDescent="0.25">
      <c r="B26" s="3">
        <v>23</v>
      </c>
      <c r="C26" s="3" t="s">
        <v>31</v>
      </c>
      <c r="D26" s="5" t="s">
        <v>33</v>
      </c>
      <c r="E26" s="5">
        <v>1054</v>
      </c>
      <c r="F26" s="4">
        <v>41</v>
      </c>
      <c r="G26" s="4">
        <f t="shared" si="0"/>
        <v>10.25</v>
      </c>
      <c r="H26" s="4">
        <v>7.1296007000000001</v>
      </c>
      <c r="I26" s="4">
        <f t="shared" si="1"/>
        <v>69.557079999999999</v>
      </c>
      <c r="J26" s="4">
        <f t="shared" si="2"/>
        <v>17.38927</v>
      </c>
      <c r="K26" s="4">
        <v>5.1033891999999996</v>
      </c>
      <c r="L26" s="4">
        <f t="shared" si="3"/>
        <v>39.703252497379601</v>
      </c>
    </row>
    <row r="27" spans="2:12" ht="18.75" x14ac:dyDescent="0.25">
      <c r="B27" s="3">
        <v>24</v>
      </c>
      <c r="C27" s="3" t="s">
        <v>31</v>
      </c>
      <c r="D27" s="5" t="s">
        <v>34</v>
      </c>
      <c r="E27" s="5">
        <v>724</v>
      </c>
      <c r="F27" s="4">
        <v>48</v>
      </c>
      <c r="G27" s="4">
        <f t="shared" si="0"/>
        <v>12</v>
      </c>
      <c r="H27" s="4">
        <v>7.5332514999999995</v>
      </c>
      <c r="I27" s="4">
        <f t="shared" si="1"/>
        <v>62.777095833333327</v>
      </c>
      <c r="J27" s="4">
        <f t="shared" si="2"/>
        <v>15.694273958333332</v>
      </c>
      <c r="K27" s="4">
        <v>6.1232925999999992</v>
      </c>
      <c r="L27" s="4">
        <f t="shared" si="3"/>
        <v>23.026155895277657</v>
      </c>
    </row>
    <row r="28" spans="2:12" ht="18.75" x14ac:dyDescent="0.25">
      <c r="B28" s="3">
        <v>25</v>
      </c>
      <c r="C28" s="3" t="s">
        <v>31</v>
      </c>
      <c r="D28" s="5" t="s">
        <v>35</v>
      </c>
      <c r="E28" s="5">
        <v>759</v>
      </c>
      <c r="F28" s="4">
        <v>49</v>
      </c>
      <c r="G28" s="4">
        <f t="shared" si="0"/>
        <v>12.25</v>
      </c>
      <c r="H28" s="4">
        <v>8.0453831999999998</v>
      </c>
      <c r="I28" s="4">
        <f t="shared" si="1"/>
        <v>65.676597551020407</v>
      </c>
      <c r="J28" s="4">
        <f t="shared" si="2"/>
        <v>16.419149387755102</v>
      </c>
      <c r="K28" s="4">
        <v>6.1092234000000003</v>
      </c>
      <c r="L28" s="4">
        <f t="shared" si="3"/>
        <v>31.692404635260178</v>
      </c>
    </row>
    <row r="29" spans="2:12" ht="18.75" x14ac:dyDescent="0.25">
      <c r="B29" s="3">
        <v>26</v>
      </c>
      <c r="C29" s="3" t="s">
        <v>31</v>
      </c>
      <c r="D29" s="5" t="s">
        <v>36</v>
      </c>
      <c r="E29" s="5">
        <v>887</v>
      </c>
      <c r="F29" s="4">
        <v>44</v>
      </c>
      <c r="G29" s="4">
        <f t="shared" si="0"/>
        <v>11</v>
      </c>
      <c r="H29" s="4">
        <v>7.3735037999999999</v>
      </c>
      <c r="I29" s="4">
        <f t="shared" si="1"/>
        <v>67.031852727272721</v>
      </c>
      <c r="J29" s="4">
        <f t="shared" si="2"/>
        <v>16.75796318181818</v>
      </c>
      <c r="K29" s="4">
        <v>5.6437762000000005</v>
      </c>
      <c r="L29" s="4">
        <f t="shared" si="3"/>
        <v>30.648408772835449</v>
      </c>
    </row>
    <row r="30" spans="2:12" ht="18.75" x14ac:dyDescent="0.25">
      <c r="B30" s="3">
        <v>27</v>
      </c>
      <c r="C30" s="3" t="s">
        <v>31</v>
      </c>
      <c r="D30" s="5" t="s">
        <v>37</v>
      </c>
      <c r="E30" s="5">
        <v>1181</v>
      </c>
      <c r="F30" s="4">
        <v>85</v>
      </c>
      <c r="G30" s="4">
        <f t="shared" si="0"/>
        <v>21.25</v>
      </c>
      <c r="H30" s="4">
        <v>14.575641299999999</v>
      </c>
      <c r="I30" s="4">
        <f t="shared" si="1"/>
        <v>68.591253176470573</v>
      </c>
      <c r="J30" s="4">
        <f t="shared" si="2"/>
        <v>17.147813294117643</v>
      </c>
      <c r="K30" s="4">
        <v>11.458318700000001</v>
      </c>
      <c r="L30" s="4">
        <f t="shared" si="3"/>
        <v>27.205759253318707</v>
      </c>
    </row>
    <row r="31" spans="2:12" ht="18.75" x14ac:dyDescent="0.25">
      <c r="B31" s="3">
        <v>28</v>
      </c>
      <c r="C31" s="3" t="s">
        <v>31</v>
      </c>
      <c r="D31" s="5" t="s">
        <v>38</v>
      </c>
      <c r="E31" s="5">
        <v>858</v>
      </c>
      <c r="F31" s="4">
        <v>96</v>
      </c>
      <c r="G31" s="4">
        <f t="shared" si="0"/>
        <v>24</v>
      </c>
      <c r="H31" s="4">
        <v>16.477812499999999</v>
      </c>
      <c r="I31" s="4">
        <f t="shared" si="1"/>
        <v>68.657552083333329</v>
      </c>
      <c r="J31" s="4">
        <f t="shared" si="2"/>
        <v>17.164388020833332</v>
      </c>
      <c r="K31" s="4">
        <v>12.747589600000001</v>
      </c>
      <c r="L31" s="4">
        <f t="shared" si="3"/>
        <v>29.262182240319355</v>
      </c>
    </row>
    <row r="32" spans="2:12" ht="18.75" x14ac:dyDescent="0.25">
      <c r="B32" s="3">
        <v>29</v>
      </c>
      <c r="C32" s="3" t="s">
        <v>31</v>
      </c>
      <c r="D32" s="5" t="s">
        <v>39</v>
      </c>
      <c r="E32" s="5">
        <v>735</v>
      </c>
      <c r="F32" s="4">
        <v>53</v>
      </c>
      <c r="G32" s="4">
        <f t="shared" si="0"/>
        <v>13.25</v>
      </c>
      <c r="H32" s="4">
        <v>8.6161234000000011</v>
      </c>
      <c r="I32" s="4">
        <f t="shared" si="1"/>
        <v>65.027346415094343</v>
      </c>
      <c r="J32" s="4">
        <f t="shared" si="2"/>
        <v>16.256836603773586</v>
      </c>
      <c r="K32" s="4">
        <v>6.9040643000000008</v>
      </c>
      <c r="L32" s="4">
        <f t="shared" si="3"/>
        <v>24.797844075699008</v>
      </c>
    </row>
    <row r="33" spans="2:12" ht="27" customHeight="1" x14ac:dyDescent="0.25">
      <c r="B33" s="24" t="s">
        <v>40</v>
      </c>
      <c r="C33" s="25"/>
      <c r="D33" s="26"/>
      <c r="E33" s="1">
        <v>23865</v>
      </c>
      <c r="F33" s="6">
        <v>1360.0000083046002</v>
      </c>
      <c r="G33" s="6">
        <f t="shared" si="0"/>
        <v>340.00000207615005</v>
      </c>
      <c r="H33" s="6">
        <v>225.1691228</v>
      </c>
      <c r="I33" s="12">
        <f>H33/G33*100</f>
        <v>66.226212183836608</v>
      </c>
      <c r="J33" s="12">
        <f t="shared" si="2"/>
        <v>16.556553045959152</v>
      </c>
      <c r="K33" s="12">
        <f>SUM(K4:K32)</f>
        <v>173.65187099999994</v>
      </c>
      <c r="L33" s="12">
        <f>(H33-K33)/K33*100</f>
        <v>29.666971915321355</v>
      </c>
    </row>
    <row r="34" spans="2:12" x14ac:dyDescent="0.25">
      <c r="D34" s="7"/>
      <c r="E34" s="8"/>
      <c r="F34" s="9"/>
      <c r="G34" s="8"/>
      <c r="H34" s="8"/>
      <c r="I34" s="8"/>
      <c r="J34" s="8"/>
      <c r="K34" s="8"/>
      <c r="L34" s="8"/>
    </row>
    <row r="35" spans="2:12" ht="83.25" customHeight="1" x14ac:dyDescent="0.25">
      <c r="D35" s="1" t="s">
        <v>1</v>
      </c>
      <c r="E35" s="2" t="s">
        <v>3</v>
      </c>
      <c r="F35" s="2" t="s">
        <v>4</v>
      </c>
      <c r="G35" s="2" t="s">
        <v>42</v>
      </c>
      <c r="H35" s="2" t="s">
        <v>43</v>
      </c>
      <c r="I35" s="2" t="s">
        <v>5</v>
      </c>
      <c r="J35" s="2" t="s">
        <v>6</v>
      </c>
      <c r="K35" s="2" t="s">
        <v>45</v>
      </c>
      <c r="L35" s="2" t="s">
        <v>7</v>
      </c>
    </row>
    <row r="36" spans="2:12" ht="18.75" x14ac:dyDescent="0.25">
      <c r="D36" s="3" t="s">
        <v>8</v>
      </c>
      <c r="E36" s="3">
        <v>7082</v>
      </c>
      <c r="F36" s="10">
        <v>386.0000083046001</v>
      </c>
      <c r="G36" s="10">
        <f>F36/12*3</f>
        <v>96.500002076150025</v>
      </c>
      <c r="H36" s="10">
        <v>63.940000000000005</v>
      </c>
      <c r="I36" s="10">
        <f>H36/G36*100</f>
        <v>66.259065931981752</v>
      </c>
      <c r="J36" s="10">
        <f>H36/F36*100</f>
        <v>16.564766482995438</v>
      </c>
      <c r="K36" s="10">
        <v>48.914856999999998</v>
      </c>
      <c r="L36" s="10">
        <f>(H36-K36)/K36*100</f>
        <v>30.716931258738029</v>
      </c>
    </row>
    <row r="37" spans="2:12" ht="18.75" x14ac:dyDescent="0.25">
      <c r="D37" s="3" t="s">
        <v>17</v>
      </c>
      <c r="E37" s="3">
        <v>9996</v>
      </c>
      <c r="F37" s="10">
        <v>530</v>
      </c>
      <c r="G37" s="10">
        <f t="shared" ref="G37:G39" si="4">F37/12*3</f>
        <v>132.5</v>
      </c>
      <c r="H37" s="10">
        <v>86.98</v>
      </c>
      <c r="I37" s="10">
        <f t="shared" ref="I37:I39" si="5">H37/G37*100</f>
        <v>65.645283018867929</v>
      </c>
      <c r="J37" s="10">
        <f t="shared" ref="J37:J39" si="6">H37/F37*100</f>
        <v>16.411320754716982</v>
      </c>
      <c r="K37" s="10">
        <v>67.298785999999993</v>
      </c>
      <c r="L37" s="10">
        <f t="shared" ref="L37:L39" si="7">(H37-K37)/K37*100</f>
        <v>29.244530503120835</v>
      </c>
    </row>
    <row r="38" spans="2:12" ht="18.75" x14ac:dyDescent="0.25">
      <c r="D38" s="3" t="s">
        <v>31</v>
      </c>
      <c r="E38" s="3">
        <v>6787</v>
      </c>
      <c r="F38" s="10">
        <v>444</v>
      </c>
      <c r="G38" s="10">
        <f t="shared" si="4"/>
        <v>111</v>
      </c>
      <c r="H38" s="10">
        <v>74.25</v>
      </c>
      <c r="I38" s="10">
        <f t="shared" si="5"/>
        <v>66.891891891891902</v>
      </c>
      <c r="J38" s="10">
        <f t="shared" si="6"/>
        <v>16.722972972972975</v>
      </c>
      <c r="K38" s="10">
        <v>57.438228000000009</v>
      </c>
      <c r="L38" s="10">
        <f t="shared" si="7"/>
        <v>29.269308238408726</v>
      </c>
    </row>
    <row r="39" spans="2:12" ht="29.25" customHeight="1" x14ac:dyDescent="0.25">
      <c r="D39" s="1" t="s">
        <v>41</v>
      </c>
      <c r="E39" s="1">
        <v>23865</v>
      </c>
      <c r="F39" s="6">
        <v>1360.0000083046002</v>
      </c>
      <c r="G39" s="6">
        <f t="shared" si="4"/>
        <v>340.00000207615005</v>
      </c>
      <c r="H39" s="6">
        <v>225.17</v>
      </c>
      <c r="I39" s="13">
        <f t="shared" si="5"/>
        <v>66.226470183835033</v>
      </c>
      <c r="J39" s="13">
        <f t="shared" si="6"/>
        <v>16.556617545958758</v>
      </c>
      <c r="K39" s="11">
        <f>SUM(K36:K38)</f>
        <v>173.651871</v>
      </c>
      <c r="L39" s="13">
        <f t="shared" si="7"/>
        <v>29.667477063924053</v>
      </c>
    </row>
  </sheetData>
  <mergeCells count="2">
    <mergeCell ref="B2:L2"/>
    <mergeCell ref="B33:D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1636-8C97-4B92-901B-582E33BDC2B9}">
  <sheetPr>
    <pageSetUpPr fitToPage="1"/>
  </sheetPr>
  <dimension ref="B2:L39"/>
  <sheetViews>
    <sheetView tabSelected="1" topLeftCell="C27" workbookViewId="0">
      <selection activeCell="G35" sqref="G35"/>
    </sheetView>
  </sheetViews>
  <sheetFormatPr defaultRowHeight="15" x14ac:dyDescent="0.25"/>
  <cols>
    <col min="2" max="2" width="7.28515625" bestFit="1" customWidth="1"/>
    <col min="3" max="3" width="25.42578125" customWidth="1"/>
    <col min="4" max="5" width="26" customWidth="1"/>
    <col min="6" max="6" width="18.85546875" customWidth="1"/>
    <col min="7" max="7" width="19.7109375" customWidth="1"/>
    <col min="8" max="8" width="21" customWidth="1"/>
    <col min="9" max="9" width="23.85546875" customWidth="1"/>
    <col min="10" max="10" width="19.7109375" customWidth="1"/>
    <col min="11" max="11" width="20.140625" customWidth="1"/>
    <col min="12" max="12" width="17.7109375" customWidth="1"/>
  </cols>
  <sheetData>
    <row r="2" spans="2:12" ht="26.25" x14ac:dyDescent="0.25">
      <c r="B2" s="23" t="s">
        <v>46</v>
      </c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2:12" ht="112.5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42</v>
      </c>
      <c r="H3" s="2" t="s">
        <v>43</v>
      </c>
      <c r="I3" s="2" t="s">
        <v>5</v>
      </c>
      <c r="J3" s="2" t="s">
        <v>6</v>
      </c>
      <c r="K3" s="2" t="s">
        <v>45</v>
      </c>
      <c r="L3" s="2" t="s">
        <v>7</v>
      </c>
    </row>
    <row r="4" spans="2:12" ht="19.5" x14ac:dyDescent="0.25">
      <c r="B4" s="14">
        <v>1</v>
      </c>
      <c r="C4" s="14" t="s">
        <v>17</v>
      </c>
      <c r="D4" s="14" t="s">
        <v>18</v>
      </c>
      <c r="E4" s="14">
        <v>884</v>
      </c>
      <c r="F4" s="15">
        <v>44.19</v>
      </c>
      <c r="G4" s="15">
        <f t="shared" ref="G4:G32" si="0">F4/12*3</f>
        <v>11.047499999999999</v>
      </c>
      <c r="H4" s="15">
        <v>9.6408418000000005</v>
      </c>
      <c r="I4" s="15">
        <f t="shared" ref="I4:I32" si="1">H4/G4*100</f>
        <v>87.267180810138044</v>
      </c>
      <c r="J4" s="15">
        <f t="shared" ref="J4:J32" si="2">H4/F4*100</f>
        <v>21.816795202534511</v>
      </c>
      <c r="K4" s="15">
        <v>6.8384374999999995</v>
      </c>
      <c r="L4" s="15">
        <f t="shared" ref="L4:L33" si="3">(H4-K4)/K4*100</f>
        <v>40.9801844354065</v>
      </c>
    </row>
    <row r="5" spans="2:12" ht="19.5" x14ac:dyDescent="0.25">
      <c r="B5" s="14">
        <v>2</v>
      </c>
      <c r="C5" s="14" t="s">
        <v>17</v>
      </c>
      <c r="D5" s="14" t="s">
        <v>30</v>
      </c>
      <c r="E5" s="14">
        <v>1005</v>
      </c>
      <c r="F5" s="15">
        <v>45.14</v>
      </c>
      <c r="G5" s="15">
        <f t="shared" si="0"/>
        <v>11.285</v>
      </c>
      <c r="H5" s="15">
        <v>9.8185628000000005</v>
      </c>
      <c r="I5" s="15">
        <f t="shared" si="1"/>
        <v>87.005430217102358</v>
      </c>
      <c r="J5" s="15">
        <f t="shared" si="2"/>
        <v>21.751357554275589</v>
      </c>
      <c r="K5" s="15">
        <v>7.0962015000000003</v>
      </c>
      <c r="L5" s="15">
        <f t="shared" si="3"/>
        <v>38.36364144958398</v>
      </c>
    </row>
    <row r="6" spans="2:12" ht="19.5" x14ac:dyDescent="0.25">
      <c r="B6" s="14">
        <v>3</v>
      </c>
      <c r="C6" s="14" t="s">
        <v>31</v>
      </c>
      <c r="D6" s="16" t="s">
        <v>33</v>
      </c>
      <c r="E6" s="16">
        <v>1054</v>
      </c>
      <c r="F6" s="15">
        <v>31</v>
      </c>
      <c r="G6" s="15">
        <f t="shared" si="0"/>
        <v>7.75</v>
      </c>
      <c r="H6" s="15">
        <v>6.5981532000000005</v>
      </c>
      <c r="I6" s="15">
        <f t="shared" si="1"/>
        <v>85.137460645161298</v>
      </c>
      <c r="J6" s="15">
        <f t="shared" si="2"/>
        <v>21.284365161290324</v>
      </c>
      <c r="K6" s="15">
        <v>4.5589433000000001</v>
      </c>
      <c r="L6" s="15">
        <f t="shared" si="3"/>
        <v>44.729880715998384</v>
      </c>
    </row>
    <row r="7" spans="2:12" ht="19.5" x14ac:dyDescent="0.25">
      <c r="B7" s="14">
        <v>4</v>
      </c>
      <c r="C7" s="14" t="s">
        <v>31</v>
      </c>
      <c r="D7" s="16" t="s">
        <v>38</v>
      </c>
      <c r="E7" s="16">
        <v>858</v>
      </c>
      <c r="F7" s="15">
        <v>10</v>
      </c>
      <c r="G7" s="15">
        <f t="shared" si="0"/>
        <v>2.5</v>
      </c>
      <c r="H7" s="15">
        <v>2.1176604999999999</v>
      </c>
      <c r="I7" s="15">
        <f t="shared" si="1"/>
        <v>84.706419999999994</v>
      </c>
      <c r="J7" s="15">
        <f t="shared" si="2"/>
        <v>21.176604999999999</v>
      </c>
      <c r="K7" s="15">
        <v>1.4807721</v>
      </c>
      <c r="L7" s="15">
        <f t="shared" si="3"/>
        <v>43.010561854859361</v>
      </c>
    </row>
    <row r="8" spans="2:12" ht="19.5" x14ac:dyDescent="0.25">
      <c r="B8" s="14">
        <v>5</v>
      </c>
      <c r="C8" s="14" t="s">
        <v>31</v>
      </c>
      <c r="D8" s="16" t="s">
        <v>37</v>
      </c>
      <c r="E8" s="16">
        <v>1181</v>
      </c>
      <c r="F8" s="15">
        <v>79</v>
      </c>
      <c r="G8" s="15">
        <f t="shared" si="0"/>
        <v>19.75</v>
      </c>
      <c r="H8" s="15">
        <v>16.5518134</v>
      </c>
      <c r="I8" s="15">
        <f t="shared" si="1"/>
        <v>83.806650126582284</v>
      </c>
      <c r="J8" s="15">
        <f t="shared" si="2"/>
        <v>20.951662531645571</v>
      </c>
      <c r="K8" s="15">
        <v>11.4470125</v>
      </c>
      <c r="L8" s="15">
        <f t="shared" si="3"/>
        <v>44.595049581714015</v>
      </c>
    </row>
    <row r="9" spans="2:12" ht="19.5" x14ac:dyDescent="0.25">
      <c r="B9" s="14">
        <v>6</v>
      </c>
      <c r="C9" s="14" t="s">
        <v>8</v>
      </c>
      <c r="D9" s="14" t="s">
        <v>14</v>
      </c>
      <c r="E9" s="14">
        <v>743</v>
      </c>
      <c r="F9" s="15">
        <v>28.611339999999998</v>
      </c>
      <c r="G9" s="15">
        <f t="shared" si="0"/>
        <v>7.1528349999999996</v>
      </c>
      <c r="H9" s="15">
        <v>5.9714723000000003</v>
      </c>
      <c r="I9" s="15">
        <f t="shared" si="1"/>
        <v>83.483993409606128</v>
      </c>
      <c r="J9" s="15">
        <f t="shared" si="2"/>
        <v>20.870998352401532</v>
      </c>
      <c r="K9" s="15">
        <v>4.1548710999999994</v>
      </c>
      <c r="L9" s="15">
        <f t="shared" si="3"/>
        <v>43.722203560057523</v>
      </c>
    </row>
    <row r="10" spans="2:12" ht="19.5" x14ac:dyDescent="0.25">
      <c r="B10" s="14">
        <v>7</v>
      </c>
      <c r="C10" s="14" t="s">
        <v>17</v>
      </c>
      <c r="D10" s="14" t="s">
        <v>24</v>
      </c>
      <c r="E10" s="14">
        <v>888</v>
      </c>
      <c r="F10" s="15">
        <v>41.35</v>
      </c>
      <c r="G10" s="15">
        <f t="shared" si="0"/>
        <v>10.3375</v>
      </c>
      <c r="H10" s="15">
        <v>8.504350500000001</v>
      </c>
      <c r="I10" s="15">
        <f t="shared" si="1"/>
        <v>82.26699395405079</v>
      </c>
      <c r="J10" s="15">
        <f t="shared" si="2"/>
        <v>20.566748488512697</v>
      </c>
      <c r="K10" s="15">
        <v>6.3335425999999995</v>
      </c>
      <c r="L10" s="15">
        <f t="shared" si="3"/>
        <v>34.274781699581553</v>
      </c>
    </row>
    <row r="11" spans="2:12" ht="19.5" x14ac:dyDescent="0.25">
      <c r="B11" s="14">
        <v>8</v>
      </c>
      <c r="C11" s="14" t="s">
        <v>31</v>
      </c>
      <c r="D11" s="16" t="s">
        <v>35</v>
      </c>
      <c r="E11" s="16">
        <v>759</v>
      </c>
      <c r="F11" s="15">
        <v>53</v>
      </c>
      <c r="G11" s="15">
        <f t="shared" si="0"/>
        <v>13.25</v>
      </c>
      <c r="H11" s="15">
        <v>10.8764053</v>
      </c>
      <c r="I11" s="15">
        <f t="shared" si="1"/>
        <v>82.086077735849059</v>
      </c>
      <c r="J11" s="15">
        <f t="shared" si="2"/>
        <v>20.521519433962265</v>
      </c>
      <c r="K11" s="15">
        <v>7.4180010000000003</v>
      </c>
      <c r="L11" s="15">
        <f t="shared" si="3"/>
        <v>46.621782606931433</v>
      </c>
    </row>
    <row r="12" spans="2:12" ht="19.5" x14ac:dyDescent="0.25">
      <c r="B12" s="14">
        <v>9</v>
      </c>
      <c r="C12" s="14" t="s">
        <v>8</v>
      </c>
      <c r="D12" s="14" t="s">
        <v>12</v>
      </c>
      <c r="E12" s="14">
        <v>965</v>
      </c>
      <c r="F12" s="15">
        <v>30.146440000000002</v>
      </c>
      <c r="G12" s="15">
        <f t="shared" si="0"/>
        <v>7.5366099999999996</v>
      </c>
      <c r="H12" s="15">
        <v>6.1830476999999995</v>
      </c>
      <c r="I12" s="15">
        <f t="shared" si="1"/>
        <v>82.040170580672211</v>
      </c>
      <c r="J12" s="15">
        <f t="shared" si="2"/>
        <v>20.510042645168049</v>
      </c>
      <c r="K12" s="15">
        <v>4.0426006000000001</v>
      </c>
      <c r="L12" s="15">
        <f t="shared" si="3"/>
        <v>52.947281015097047</v>
      </c>
    </row>
    <row r="13" spans="2:12" ht="19.5" x14ac:dyDescent="0.25">
      <c r="B13" s="14">
        <v>10</v>
      </c>
      <c r="C13" s="14" t="s">
        <v>17</v>
      </c>
      <c r="D13" s="14" t="s">
        <v>25</v>
      </c>
      <c r="E13" s="14">
        <v>948</v>
      </c>
      <c r="F13" s="15">
        <v>47</v>
      </c>
      <c r="G13" s="15">
        <f t="shared" si="0"/>
        <v>11.75</v>
      </c>
      <c r="H13" s="15">
        <v>9.5234424000000004</v>
      </c>
      <c r="I13" s="15">
        <f t="shared" si="1"/>
        <v>81.050573617021286</v>
      </c>
      <c r="J13" s="15">
        <f t="shared" si="2"/>
        <v>20.262643404255321</v>
      </c>
      <c r="K13" s="15">
        <v>6.7702083999999996</v>
      </c>
      <c r="L13" s="15">
        <f t="shared" si="3"/>
        <v>40.666901775135919</v>
      </c>
    </row>
    <row r="14" spans="2:12" ht="19.5" x14ac:dyDescent="0.25">
      <c r="B14" s="14">
        <v>11</v>
      </c>
      <c r="C14" s="14" t="s">
        <v>31</v>
      </c>
      <c r="D14" s="16" t="s">
        <v>34</v>
      </c>
      <c r="E14" s="16">
        <v>724</v>
      </c>
      <c r="F14" s="15">
        <v>24</v>
      </c>
      <c r="G14" s="15">
        <f t="shared" si="0"/>
        <v>6</v>
      </c>
      <c r="H14" s="15">
        <v>4.8270604000000006</v>
      </c>
      <c r="I14" s="15">
        <f t="shared" si="1"/>
        <v>80.451006666666686</v>
      </c>
      <c r="J14" s="15">
        <f t="shared" si="2"/>
        <v>20.112751666666671</v>
      </c>
      <c r="K14" s="15">
        <v>3.3661194999999999</v>
      </c>
      <c r="L14" s="15">
        <f t="shared" si="3"/>
        <v>43.401337950123299</v>
      </c>
    </row>
    <row r="15" spans="2:12" ht="19.5" x14ac:dyDescent="0.25">
      <c r="B15" s="14">
        <v>12</v>
      </c>
      <c r="C15" s="14" t="s">
        <v>8</v>
      </c>
      <c r="D15" s="14" t="s">
        <v>15</v>
      </c>
      <c r="E15" s="14">
        <v>677</v>
      </c>
      <c r="F15" s="15">
        <v>22.57328</v>
      </c>
      <c r="G15" s="15">
        <f t="shared" si="0"/>
        <v>5.6433200000000001</v>
      </c>
      <c r="H15" s="15">
        <v>4.5283112000000001</v>
      </c>
      <c r="I15" s="15">
        <f t="shared" si="1"/>
        <v>80.241971038324948</v>
      </c>
      <c r="J15" s="15">
        <f t="shared" si="2"/>
        <v>20.060492759581237</v>
      </c>
      <c r="K15" s="15">
        <v>3.1005221999999999</v>
      </c>
      <c r="L15" s="15">
        <f t="shared" si="3"/>
        <v>46.049952488648529</v>
      </c>
    </row>
    <row r="16" spans="2:12" ht="19.5" x14ac:dyDescent="0.25">
      <c r="B16" s="14">
        <v>13</v>
      </c>
      <c r="C16" s="14" t="s">
        <v>17</v>
      </c>
      <c r="D16" s="14" t="s">
        <v>28</v>
      </c>
      <c r="E16" s="14">
        <v>528</v>
      </c>
      <c r="F16" s="15">
        <v>27.06</v>
      </c>
      <c r="G16" s="15">
        <f t="shared" si="0"/>
        <v>6.7649999999999997</v>
      </c>
      <c r="H16" s="15">
        <v>5.3907594999999997</v>
      </c>
      <c r="I16" s="15">
        <f t="shared" si="1"/>
        <v>79.686023651145604</v>
      </c>
      <c r="J16" s="15">
        <f t="shared" si="2"/>
        <v>19.921505912786401</v>
      </c>
      <c r="K16" s="15">
        <v>3.7272349999999999</v>
      </c>
      <c r="L16" s="15">
        <f t="shared" si="3"/>
        <v>44.631596880797694</v>
      </c>
    </row>
    <row r="17" spans="2:12" ht="19.5" x14ac:dyDescent="0.25">
      <c r="B17" s="14">
        <v>14</v>
      </c>
      <c r="C17" s="14" t="s">
        <v>31</v>
      </c>
      <c r="D17" s="16" t="s">
        <v>39</v>
      </c>
      <c r="E17" s="16">
        <v>735</v>
      </c>
      <c r="F17" s="15">
        <v>32</v>
      </c>
      <c r="G17" s="15">
        <f t="shared" si="0"/>
        <v>8</v>
      </c>
      <c r="H17" s="15">
        <v>6.3738763999999994</v>
      </c>
      <c r="I17" s="15">
        <f t="shared" si="1"/>
        <v>79.67345499999999</v>
      </c>
      <c r="J17" s="15">
        <f t="shared" si="2"/>
        <v>19.918363749999997</v>
      </c>
      <c r="K17" s="15">
        <v>4.8623335999999995</v>
      </c>
      <c r="L17" s="15">
        <f t="shared" si="3"/>
        <v>31.086776933610643</v>
      </c>
    </row>
    <row r="18" spans="2:12" ht="19.5" x14ac:dyDescent="0.25">
      <c r="B18" s="14">
        <v>15</v>
      </c>
      <c r="C18" s="14" t="s">
        <v>17</v>
      </c>
      <c r="D18" s="14" t="s">
        <v>20</v>
      </c>
      <c r="E18" s="14">
        <v>572</v>
      </c>
      <c r="F18" s="15">
        <v>43.2</v>
      </c>
      <c r="G18" s="15">
        <f t="shared" si="0"/>
        <v>10.8</v>
      </c>
      <c r="H18" s="15">
        <v>8.6033659</v>
      </c>
      <c r="I18" s="15">
        <f t="shared" si="1"/>
        <v>79.660795370370366</v>
      </c>
      <c r="J18" s="15">
        <f t="shared" si="2"/>
        <v>19.915198842592591</v>
      </c>
      <c r="K18" s="15">
        <v>6.4695014999999998</v>
      </c>
      <c r="L18" s="15">
        <f t="shared" si="3"/>
        <v>32.983443933044917</v>
      </c>
    </row>
    <row r="19" spans="2:12" ht="19.5" x14ac:dyDescent="0.25">
      <c r="B19" s="14">
        <v>16</v>
      </c>
      <c r="C19" s="14" t="s">
        <v>31</v>
      </c>
      <c r="D19" s="16" t="s">
        <v>36</v>
      </c>
      <c r="E19" s="16">
        <v>887</v>
      </c>
      <c r="F19" s="15">
        <v>33</v>
      </c>
      <c r="G19" s="15">
        <f t="shared" si="0"/>
        <v>8.25</v>
      </c>
      <c r="H19" s="15">
        <v>6.5510403000000004</v>
      </c>
      <c r="I19" s="15">
        <f t="shared" si="1"/>
        <v>79.406549090909095</v>
      </c>
      <c r="J19" s="15">
        <f t="shared" si="2"/>
        <v>19.851637272727274</v>
      </c>
      <c r="K19" s="15">
        <v>4.5517892</v>
      </c>
      <c r="L19" s="15">
        <f t="shared" si="3"/>
        <v>43.922313010453131</v>
      </c>
    </row>
    <row r="20" spans="2:12" ht="19.5" x14ac:dyDescent="0.25">
      <c r="B20" s="14">
        <v>17</v>
      </c>
      <c r="C20" s="14" t="s">
        <v>8</v>
      </c>
      <c r="D20" s="14" t="s">
        <v>11</v>
      </c>
      <c r="E20" s="14">
        <v>804</v>
      </c>
      <c r="F20" s="15">
        <v>58.04140000000001</v>
      </c>
      <c r="G20" s="15">
        <f t="shared" si="0"/>
        <v>14.510350000000003</v>
      </c>
      <c r="H20" s="15">
        <v>11.5208926</v>
      </c>
      <c r="I20" s="15">
        <f t="shared" si="1"/>
        <v>79.397758151939811</v>
      </c>
      <c r="J20" s="15">
        <f t="shared" si="2"/>
        <v>19.849439537984953</v>
      </c>
      <c r="K20" s="15">
        <v>8.3039794999999987</v>
      </c>
      <c r="L20" s="15">
        <f t="shared" si="3"/>
        <v>38.739415240608452</v>
      </c>
    </row>
    <row r="21" spans="2:12" ht="19.5" x14ac:dyDescent="0.25">
      <c r="B21" s="14">
        <v>18</v>
      </c>
      <c r="C21" s="14" t="s">
        <v>31</v>
      </c>
      <c r="D21" s="16" t="s">
        <v>32</v>
      </c>
      <c r="E21" s="16">
        <v>589</v>
      </c>
      <c r="F21" s="15">
        <v>26</v>
      </c>
      <c r="G21" s="15">
        <f t="shared" si="0"/>
        <v>6.5</v>
      </c>
      <c r="H21" s="15">
        <v>5.1163581999999996</v>
      </c>
      <c r="I21" s="15">
        <f t="shared" si="1"/>
        <v>78.713203076923065</v>
      </c>
      <c r="J21" s="15">
        <f t="shared" si="2"/>
        <v>19.678300769230766</v>
      </c>
      <c r="K21" s="15">
        <v>3.4462181999999997</v>
      </c>
      <c r="L21" s="15">
        <f t="shared" si="3"/>
        <v>48.462978925710509</v>
      </c>
    </row>
    <row r="22" spans="2:12" ht="19.5" x14ac:dyDescent="0.25">
      <c r="B22" s="14">
        <v>19</v>
      </c>
      <c r="C22" s="14" t="s">
        <v>17</v>
      </c>
      <c r="D22" s="14" t="s">
        <v>19</v>
      </c>
      <c r="E22" s="14">
        <v>709</v>
      </c>
      <c r="F22" s="15">
        <v>31.6</v>
      </c>
      <c r="G22" s="15">
        <f t="shared" si="0"/>
        <v>7.9</v>
      </c>
      <c r="H22" s="15">
        <v>6.2071147999999994</v>
      </c>
      <c r="I22" s="15">
        <f t="shared" si="1"/>
        <v>78.571073417721507</v>
      </c>
      <c r="J22" s="15">
        <f t="shared" si="2"/>
        <v>19.642768354430377</v>
      </c>
      <c r="K22" s="15">
        <v>4.3347110000000004</v>
      </c>
      <c r="L22" s="15">
        <f t="shared" si="3"/>
        <v>43.195585588058783</v>
      </c>
    </row>
    <row r="23" spans="2:12" ht="19.5" x14ac:dyDescent="0.25">
      <c r="B23" s="14">
        <v>20</v>
      </c>
      <c r="C23" s="14" t="s">
        <v>8</v>
      </c>
      <c r="D23" s="14" t="s">
        <v>9</v>
      </c>
      <c r="E23" s="14">
        <v>1072</v>
      </c>
      <c r="F23" s="15">
        <v>30.789719999999999</v>
      </c>
      <c r="G23" s="15">
        <f t="shared" si="0"/>
        <v>7.6974299999999998</v>
      </c>
      <c r="H23" s="15">
        <v>6.0003910000000005</v>
      </c>
      <c r="I23" s="15">
        <f t="shared" si="1"/>
        <v>77.953173981445772</v>
      </c>
      <c r="J23" s="15">
        <f t="shared" si="2"/>
        <v>19.488293495361443</v>
      </c>
      <c r="K23" s="15">
        <v>4.0526900999999995</v>
      </c>
      <c r="L23" s="15">
        <f t="shared" si="3"/>
        <v>48.05945808686436</v>
      </c>
    </row>
    <row r="24" spans="2:12" ht="19.5" x14ac:dyDescent="0.25">
      <c r="B24" s="14">
        <v>21</v>
      </c>
      <c r="C24" s="14" t="s">
        <v>17</v>
      </c>
      <c r="D24" s="14" t="s">
        <v>26</v>
      </c>
      <c r="E24" s="14">
        <v>996</v>
      </c>
      <c r="F24" s="15">
        <v>42.15</v>
      </c>
      <c r="G24" s="15">
        <f t="shared" si="0"/>
        <v>10.5375</v>
      </c>
      <c r="H24" s="15">
        <v>8.1150757000000002</v>
      </c>
      <c r="I24" s="15">
        <f t="shared" si="1"/>
        <v>77.011394543297754</v>
      </c>
      <c r="J24" s="15">
        <f t="shared" si="2"/>
        <v>19.252848635824439</v>
      </c>
      <c r="K24" s="15">
        <v>5.9914383999999998</v>
      </c>
      <c r="L24" s="15">
        <f t="shared" si="3"/>
        <v>35.44453198417262</v>
      </c>
    </row>
    <row r="25" spans="2:12" ht="19.5" x14ac:dyDescent="0.25">
      <c r="B25" s="14">
        <v>22</v>
      </c>
      <c r="C25" s="14" t="s">
        <v>8</v>
      </c>
      <c r="D25" s="14" t="s">
        <v>10</v>
      </c>
      <c r="E25" s="14">
        <v>758</v>
      </c>
      <c r="F25" s="15">
        <v>43.02666</v>
      </c>
      <c r="G25" s="15">
        <f t="shared" si="0"/>
        <v>10.756665</v>
      </c>
      <c r="H25" s="15">
        <v>8.2377649999999996</v>
      </c>
      <c r="I25" s="15">
        <f t="shared" si="1"/>
        <v>76.582890700788766</v>
      </c>
      <c r="J25" s="15">
        <f t="shared" si="2"/>
        <v>19.145722675197192</v>
      </c>
      <c r="K25" s="15">
        <v>5.8333556</v>
      </c>
      <c r="L25" s="15">
        <f t="shared" si="3"/>
        <v>41.218289521043424</v>
      </c>
    </row>
    <row r="26" spans="2:12" ht="19.5" x14ac:dyDescent="0.25">
      <c r="B26" s="14">
        <v>23</v>
      </c>
      <c r="C26" s="14" t="s">
        <v>8</v>
      </c>
      <c r="D26" s="14" t="s">
        <v>16</v>
      </c>
      <c r="E26" s="14">
        <v>1119</v>
      </c>
      <c r="F26" s="15">
        <v>55.61448</v>
      </c>
      <c r="G26" s="15">
        <f t="shared" si="0"/>
        <v>13.90362</v>
      </c>
      <c r="H26" s="15">
        <v>10.6066956</v>
      </c>
      <c r="I26" s="15">
        <f t="shared" si="1"/>
        <v>76.287294963469947</v>
      </c>
      <c r="J26" s="15">
        <f t="shared" si="2"/>
        <v>19.071823740867487</v>
      </c>
      <c r="K26" s="15">
        <v>7.8817375999999992</v>
      </c>
      <c r="L26" s="15">
        <f t="shared" si="3"/>
        <v>34.573061655846054</v>
      </c>
    </row>
    <row r="27" spans="2:12" ht="19.5" x14ac:dyDescent="0.25">
      <c r="B27" s="14">
        <v>24</v>
      </c>
      <c r="C27" s="14" t="s">
        <v>17</v>
      </c>
      <c r="D27" s="14" t="s">
        <v>23</v>
      </c>
      <c r="E27" s="14">
        <v>557</v>
      </c>
      <c r="F27" s="15">
        <v>30.2</v>
      </c>
      <c r="G27" s="15">
        <f t="shared" si="0"/>
        <v>7.55</v>
      </c>
      <c r="H27" s="15">
        <v>5.7373167</v>
      </c>
      <c r="I27" s="15">
        <f t="shared" si="1"/>
        <v>75.99094966887418</v>
      </c>
      <c r="J27" s="15">
        <f t="shared" si="2"/>
        <v>18.997737417218545</v>
      </c>
      <c r="K27" s="15">
        <v>4.1165363999999993</v>
      </c>
      <c r="L27" s="15">
        <f t="shared" si="3"/>
        <v>39.372427266767303</v>
      </c>
    </row>
    <row r="28" spans="2:12" ht="19.5" x14ac:dyDescent="0.25">
      <c r="B28" s="14">
        <v>25</v>
      </c>
      <c r="C28" s="14" t="s">
        <v>8</v>
      </c>
      <c r="D28" s="14" t="s">
        <v>13</v>
      </c>
      <c r="E28" s="14">
        <v>944</v>
      </c>
      <c r="F28" s="15">
        <v>32.778040000000004</v>
      </c>
      <c r="G28" s="15">
        <f t="shared" si="0"/>
        <v>8.1945100000000011</v>
      </c>
      <c r="H28" s="15">
        <v>6.2127564</v>
      </c>
      <c r="I28" s="15">
        <f t="shared" si="1"/>
        <v>75.816081742532489</v>
      </c>
      <c r="J28" s="15">
        <f t="shared" si="2"/>
        <v>18.954020435633122</v>
      </c>
      <c r="K28" s="15">
        <v>4.3620842999999994</v>
      </c>
      <c r="L28" s="15">
        <f t="shared" si="3"/>
        <v>42.42632587361966</v>
      </c>
    </row>
    <row r="29" spans="2:12" ht="19.5" x14ac:dyDescent="0.25">
      <c r="B29" s="14">
        <v>26</v>
      </c>
      <c r="C29" s="14" t="s">
        <v>17</v>
      </c>
      <c r="D29" s="14" t="s">
        <v>27</v>
      </c>
      <c r="E29" s="14">
        <v>987</v>
      </c>
      <c r="F29" s="15">
        <v>34.299999999999997</v>
      </c>
      <c r="G29" s="15">
        <f t="shared" si="0"/>
        <v>8.5749999999999993</v>
      </c>
      <c r="H29" s="15">
        <v>6.4476972000000004</v>
      </c>
      <c r="I29" s="15">
        <f t="shared" si="1"/>
        <v>75.191804081632668</v>
      </c>
      <c r="J29" s="15">
        <f t="shared" si="2"/>
        <v>18.797951020408167</v>
      </c>
      <c r="K29" s="15">
        <v>4.7069437999999995</v>
      </c>
      <c r="L29" s="15">
        <f t="shared" si="3"/>
        <v>36.982668031855425</v>
      </c>
    </row>
    <row r="30" spans="2:12" ht="19.5" x14ac:dyDescent="0.25">
      <c r="B30" s="14">
        <v>27</v>
      </c>
      <c r="C30" s="14" t="s">
        <v>17</v>
      </c>
      <c r="D30" s="14" t="s">
        <v>29</v>
      </c>
      <c r="E30" s="14">
        <v>725</v>
      </c>
      <c r="F30" s="15">
        <v>32.85</v>
      </c>
      <c r="G30" s="15">
        <f t="shared" si="0"/>
        <v>8.2125000000000004</v>
      </c>
      <c r="H30" s="15">
        <v>5.9932058999999995</v>
      </c>
      <c r="I30" s="15">
        <f t="shared" si="1"/>
        <v>72.976631963470311</v>
      </c>
      <c r="J30" s="15">
        <f t="shared" si="2"/>
        <v>18.244157990867578</v>
      </c>
      <c r="K30" s="15">
        <v>4.7571472999999997</v>
      </c>
      <c r="L30" s="15">
        <f t="shared" si="3"/>
        <v>25.983189547231383</v>
      </c>
    </row>
    <row r="31" spans="2:12" ht="19.5" x14ac:dyDescent="0.25">
      <c r="B31" s="14">
        <v>28</v>
      </c>
      <c r="C31" s="14" t="s">
        <v>17</v>
      </c>
      <c r="D31" s="14" t="s">
        <v>21</v>
      </c>
      <c r="E31" s="14">
        <v>622</v>
      </c>
      <c r="F31" s="15">
        <v>27.5</v>
      </c>
      <c r="G31" s="15">
        <f t="shared" si="0"/>
        <v>6.875</v>
      </c>
      <c r="H31" s="15">
        <v>5.0059540000000009</v>
      </c>
      <c r="I31" s="15">
        <f t="shared" si="1"/>
        <v>72.813876363636382</v>
      </c>
      <c r="J31" s="15">
        <f t="shared" si="2"/>
        <v>18.203469090909095</v>
      </c>
      <c r="K31" s="15">
        <v>3.6795675000000001</v>
      </c>
      <c r="L31" s="15">
        <f t="shared" si="3"/>
        <v>36.047347955975823</v>
      </c>
    </row>
    <row r="32" spans="2:12" ht="19.5" x14ac:dyDescent="0.25">
      <c r="B32" s="14">
        <v>29</v>
      </c>
      <c r="C32" s="14" t="s">
        <v>17</v>
      </c>
      <c r="D32" s="14" t="s">
        <v>22</v>
      </c>
      <c r="E32" s="14">
        <v>575</v>
      </c>
      <c r="F32" s="15">
        <v>23.9</v>
      </c>
      <c r="G32" s="15">
        <f t="shared" si="0"/>
        <v>5.9749999999999996</v>
      </c>
      <c r="H32" s="15">
        <v>4.1756653000000004</v>
      </c>
      <c r="I32" s="15">
        <f t="shared" si="1"/>
        <v>69.885611715481176</v>
      </c>
      <c r="J32" s="15">
        <f t="shared" si="2"/>
        <v>17.471402928870294</v>
      </c>
      <c r="K32" s="15">
        <v>3.3863576000000002</v>
      </c>
      <c r="L32" s="15">
        <f t="shared" si="3"/>
        <v>23.308456850511007</v>
      </c>
    </row>
    <row r="33" spans="2:12" ht="28.5" customHeight="1" x14ac:dyDescent="0.25">
      <c r="B33" s="27" t="s">
        <v>40</v>
      </c>
      <c r="C33" s="27"/>
      <c r="D33" s="27"/>
      <c r="E33" s="17">
        <v>23865</v>
      </c>
      <c r="F33" s="18">
        <v>1060.0213599999997</v>
      </c>
      <c r="G33" s="18">
        <f t="shared" ref="G33" si="4">F33/12*3</f>
        <v>265.00533999999993</v>
      </c>
      <c r="H33" s="18">
        <v>211.44232719999999</v>
      </c>
      <c r="I33" s="19">
        <f t="shared" ref="I33" si="5">H33/G33*100</f>
        <v>79.787949631505555</v>
      </c>
      <c r="J33" s="18">
        <f t="shared" ref="J33" si="6">H33/F33*100</f>
        <v>19.946987407876389</v>
      </c>
      <c r="K33" s="18">
        <f>SUM(K4:K32)</f>
        <v>151.07085889999993</v>
      </c>
      <c r="L33" s="19">
        <f t="shared" si="3"/>
        <v>39.962351931792774</v>
      </c>
    </row>
    <row r="34" spans="2:12" x14ac:dyDescent="0.25">
      <c r="D34" s="7"/>
      <c r="E34" s="8"/>
      <c r="F34" s="8"/>
      <c r="G34" s="8"/>
      <c r="H34" s="8"/>
      <c r="I34" s="8"/>
      <c r="J34" s="8"/>
      <c r="K34" s="8"/>
      <c r="L34" s="8"/>
    </row>
    <row r="35" spans="2:12" ht="112.5" x14ac:dyDescent="0.25">
      <c r="D35" s="1" t="s">
        <v>1</v>
      </c>
      <c r="E35" s="2" t="s">
        <v>3</v>
      </c>
      <c r="F35" s="2" t="s">
        <v>4</v>
      </c>
      <c r="G35" s="2" t="s">
        <v>42</v>
      </c>
      <c r="H35" s="2" t="s">
        <v>43</v>
      </c>
      <c r="I35" s="2" t="s">
        <v>5</v>
      </c>
      <c r="J35" s="2" t="s">
        <v>6</v>
      </c>
      <c r="K35" s="2" t="s">
        <v>45</v>
      </c>
      <c r="L35" s="2" t="s">
        <v>7</v>
      </c>
    </row>
    <row r="36" spans="2:12" ht="19.5" x14ac:dyDescent="0.25">
      <c r="D36" s="14" t="s">
        <v>31</v>
      </c>
      <c r="E36" s="14">
        <v>6787</v>
      </c>
      <c r="F36" s="20">
        <v>288</v>
      </c>
      <c r="G36" s="20">
        <f>F36/12*3</f>
        <v>72</v>
      </c>
      <c r="H36" s="20">
        <v>59.02</v>
      </c>
      <c r="I36" s="20">
        <f>H36/G36*100</f>
        <v>81.972222222222229</v>
      </c>
      <c r="J36" s="20">
        <f>H36/F36*100</f>
        <v>20.493055555555557</v>
      </c>
      <c r="K36" s="20">
        <v>41.731841000000003</v>
      </c>
      <c r="L36" s="20">
        <f>(H36-K36)/K36*100</f>
        <v>41.426782489658194</v>
      </c>
    </row>
    <row r="37" spans="2:12" ht="19.5" x14ac:dyDescent="0.25">
      <c r="D37" s="14" t="s">
        <v>17</v>
      </c>
      <c r="E37" s="14">
        <v>9996</v>
      </c>
      <c r="F37" s="20">
        <v>470.44</v>
      </c>
      <c r="G37" s="20">
        <f>F37/12*3</f>
        <v>117.61</v>
      </c>
      <c r="H37" s="20">
        <v>93.16</v>
      </c>
      <c r="I37" s="20">
        <f>H37/G37*100</f>
        <v>79.210951449706656</v>
      </c>
      <c r="J37" s="20">
        <f>H37/F37*100</f>
        <v>19.802737862426664</v>
      </c>
      <c r="K37" s="20">
        <v>68.207828500000005</v>
      </c>
      <c r="L37" s="20">
        <f>(H37-K37)/K37*100</f>
        <v>36.58256251333377</v>
      </c>
    </row>
    <row r="38" spans="2:12" ht="19.5" x14ac:dyDescent="0.25">
      <c r="D38" s="14" t="s">
        <v>8</v>
      </c>
      <c r="E38" s="14">
        <v>7082</v>
      </c>
      <c r="F38" s="20">
        <v>301.58136000000002</v>
      </c>
      <c r="G38" s="20">
        <f>F38/12*3</f>
        <v>75.395340000000004</v>
      </c>
      <c r="H38" s="20">
        <v>59.26</v>
      </c>
      <c r="I38" s="20">
        <f>H38/G38*100</f>
        <v>78.599022167683032</v>
      </c>
      <c r="J38" s="20">
        <f>H38/F38*100</f>
        <v>19.649755541920758</v>
      </c>
      <c r="K38" s="20">
        <v>41.131189400000004</v>
      </c>
      <c r="L38" s="20">
        <f>(H38-K38)/K38*100</f>
        <v>44.075580756242353</v>
      </c>
    </row>
    <row r="39" spans="2:12" ht="31.5" customHeight="1" x14ac:dyDescent="0.25">
      <c r="D39" s="17" t="s">
        <v>41</v>
      </c>
      <c r="E39" s="17">
        <v>23865</v>
      </c>
      <c r="F39" s="18">
        <v>1060.02136</v>
      </c>
      <c r="G39" s="18">
        <f t="shared" ref="G39" si="7">F39/12*3</f>
        <v>265.00533999999999</v>
      </c>
      <c r="H39" s="18">
        <v>211.44</v>
      </c>
      <c r="I39" s="21">
        <f t="shared" ref="I39" si="8">H39/G39*100</f>
        <v>79.78707146052227</v>
      </c>
      <c r="J39" s="21">
        <f t="shared" ref="J39" si="9">H39/F39*100</f>
        <v>19.946767865130568</v>
      </c>
      <c r="K39" s="22">
        <f>SUM(K36:K38)</f>
        <v>151.07085890000002</v>
      </c>
      <c r="L39" s="21">
        <f>(H39-K39)/K39*100</f>
        <v>39.960811462626808</v>
      </c>
    </row>
  </sheetData>
  <mergeCells count="2">
    <mergeCell ref="B2:L2"/>
    <mergeCell ref="B33:D33"/>
  </mergeCells>
  <conditionalFormatting sqref="I4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6:I38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scale="51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307C-D2A6-4EDA-BFB1-62C0F512EA17}">
  <dimension ref="B2:L39"/>
  <sheetViews>
    <sheetView topLeftCell="C31" workbookViewId="0">
      <selection activeCell="K44" sqref="K44"/>
    </sheetView>
  </sheetViews>
  <sheetFormatPr defaultRowHeight="15" x14ac:dyDescent="0.25"/>
  <cols>
    <col min="2" max="2" width="7.28515625" bestFit="1" customWidth="1"/>
    <col min="3" max="3" width="25.42578125" customWidth="1"/>
    <col min="4" max="5" width="26" customWidth="1"/>
    <col min="6" max="6" width="18.85546875" customWidth="1"/>
    <col min="7" max="7" width="19.7109375" customWidth="1"/>
    <col min="8" max="8" width="21" customWidth="1"/>
    <col min="9" max="9" width="23.85546875" customWidth="1"/>
    <col min="10" max="10" width="19.7109375" customWidth="1"/>
    <col min="11" max="11" width="20.140625" customWidth="1"/>
    <col min="12" max="12" width="17.7109375" customWidth="1"/>
  </cols>
  <sheetData>
    <row r="2" spans="2:12" ht="26.25" x14ac:dyDescent="0.25">
      <c r="B2" s="23" t="s">
        <v>46</v>
      </c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2:12" ht="112.5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42</v>
      </c>
      <c r="H3" s="2" t="s">
        <v>43</v>
      </c>
      <c r="I3" s="2" t="s">
        <v>5</v>
      </c>
      <c r="J3" s="2" t="s">
        <v>6</v>
      </c>
      <c r="K3" s="2" t="s">
        <v>45</v>
      </c>
      <c r="L3" s="2" t="s">
        <v>7</v>
      </c>
    </row>
    <row r="4" spans="2:12" ht="18.75" x14ac:dyDescent="0.25">
      <c r="B4" s="3">
        <v>1</v>
      </c>
      <c r="C4" s="3" t="s">
        <v>8</v>
      </c>
      <c r="D4" s="3" t="s">
        <v>9</v>
      </c>
      <c r="E4" s="3">
        <v>1072</v>
      </c>
      <c r="F4" s="4">
        <v>30.789719999999999</v>
      </c>
      <c r="G4" s="4">
        <f>F4/12*3</f>
        <v>7.6974299999999998</v>
      </c>
      <c r="H4" s="4">
        <v>6.0003910000000005</v>
      </c>
      <c r="I4" s="4">
        <f>H4/G4*100</f>
        <v>77.953173981445772</v>
      </c>
      <c r="J4" s="4">
        <f>H4/F4*100</f>
        <v>19.488293495361443</v>
      </c>
      <c r="K4" s="4">
        <v>4.0526900999999995</v>
      </c>
      <c r="L4" s="4">
        <f>(H4-K4)/K4*100</f>
        <v>48.05945808686436</v>
      </c>
    </row>
    <row r="5" spans="2:12" ht="18.75" x14ac:dyDescent="0.25">
      <c r="B5" s="3">
        <v>2</v>
      </c>
      <c r="C5" s="3" t="s">
        <v>8</v>
      </c>
      <c r="D5" s="3" t="s">
        <v>10</v>
      </c>
      <c r="E5" s="3">
        <v>758</v>
      </c>
      <c r="F5" s="4">
        <v>43.02666</v>
      </c>
      <c r="G5" s="4">
        <f t="shared" ref="G5:G33" si="0">F5/12*3</f>
        <v>10.756665</v>
      </c>
      <c r="H5" s="4">
        <v>8.2377649999999996</v>
      </c>
      <c r="I5" s="4">
        <f t="shared" ref="I5:I33" si="1">H5/G5*100</f>
        <v>76.582890700788766</v>
      </c>
      <c r="J5" s="4">
        <f t="shared" ref="J5:J33" si="2">H5/F5*100</f>
        <v>19.145722675197192</v>
      </c>
      <c r="K5" s="4">
        <v>5.8333556</v>
      </c>
      <c r="L5" s="4">
        <f t="shared" ref="L5:L32" si="3">(H5-K5)/K5*100</f>
        <v>41.218289521043424</v>
      </c>
    </row>
    <row r="6" spans="2:12" ht="18.75" x14ac:dyDescent="0.25">
      <c r="B6" s="3">
        <v>3</v>
      </c>
      <c r="C6" s="3" t="s">
        <v>8</v>
      </c>
      <c r="D6" s="3" t="s">
        <v>11</v>
      </c>
      <c r="E6" s="3">
        <v>804</v>
      </c>
      <c r="F6" s="4">
        <v>58.04140000000001</v>
      </c>
      <c r="G6" s="4">
        <f t="shared" si="0"/>
        <v>14.510350000000003</v>
      </c>
      <c r="H6" s="4">
        <v>11.5208926</v>
      </c>
      <c r="I6" s="4">
        <f t="shared" si="1"/>
        <v>79.397758151939811</v>
      </c>
      <c r="J6" s="4">
        <f t="shared" si="2"/>
        <v>19.849439537984953</v>
      </c>
      <c r="K6" s="4">
        <v>8.3039794999999987</v>
      </c>
      <c r="L6" s="4">
        <f t="shared" si="3"/>
        <v>38.739415240608452</v>
      </c>
    </row>
    <row r="7" spans="2:12" ht="18.75" x14ac:dyDescent="0.25">
      <c r="B7" s="3">
        <v>4</v>
      </c>
      <c r="C7" s="3" t="s">
        <v>8</v>
      </c>
      <c r="D7" s="3" t="s">
        <v>12</v>
      </c>
      <c r="E7" s="3">
        <v>965</v>
      </c>
      <c r="F7" s="4">
        <v>30.146440000000002</v>
      </c>
      <c r="G7" s="4">
        <f t="shared" si="0"/>
        <v>7.5366099999999996</v>
      </c>
      <c r="H7" s="4">
        <v>6.1830476999999995</v>
      </c>
      <c r="I7" s="4">
        <f t="shared" si="1"/>
        <v>82.040170580672211</v>
      </c>
      <c r="J7" s="4">
        <f t="shared" si="2"/>
        <v>20.510042645168049</v>
      </c>
      <c r="K7" s="4">
        <v>4.0426006000000001</v>
      </c>
      <c r="L7" s="4">
        <f t="shared" si="3"/>
        <v>52.947281015097047</v>
      </c>
    </row>
    <row r="8" spans="2:12" ht="18.75" x14ac:dyDescent="0.25">
      <c r="B8" s="3">
        <v>5</v>
      </c>
      <c r="C8" s="3" t="s">
        <v>8</v>
      </c>
      <c r="D8" s="3" t="s">
        <v>13</v>
      </c>
      <c r="E8" s="3">
        <v>944</v>
      </c>
      <c r="F8" s="4">
        <v>32.778040000000004</v>
      </c>
      <c r="G8" s="4">
        <f t="shared" si="0"/>
        <v>8.1945100000000011</v>
      </c>
      <c r="H8" s="4">
        <v>6.2127564</v>
      </c>
      <c r="I8" s="4">
        <f t="shared" si="1"/>
        <v>75.816081742532489</v>
      </c>
      <c r="J8" s="4">
        <f t="shared" si="2"/>
        <v>18.954020435633122</v>
      </c>
      <c r="K8" s="4">
        <v>4.3620842999999994</v>
      </c>
      <c r="L8" s="4">
        <f t="shared" si="3"/>
        <v>42.42632587361966</v>
      </c>
    </row>
    <row r="9" spans="2:12" ht="18.75" x14ac:dyDescent="0.25">
      <c r="B9" s="3">
        <v>6</v>
      </c>
      <c r="C9" s="3" t="s">
        <v>8</v>
      </c>
      <c r="D9" s="3" t="s">
        <v>14</v>
      </c>
      <c r="E9" s="3">
        <v>743</v>
      </c>
      <c r="F9" s="4">
        <v>28.611339999999998</v>
      </c>
      <c r="G9" s="4">
        <f t="shared" si="0"/>
        <v>7.1528349999999996</v>
      </c>
      <c r="H9" s="4">
        <v>5.9714723000000003</v>
      </c>
      <c r="I9" s="4">
        <f t="shared" si="1"/>
        <v>83.483993409606128</v>
      </c>
      <c r="J9" s="4">
        <f t="shared" si="2"/>
        <v>20.870998352401532</v>
      </c>
      <c r="K9" s="4">
        <v>4.1548710999999994</v>
      </c>
      <c r="L9" s="4">
        <f t="shared" si="3"/>
        <v>43.722203560057523</v>
      </c>
    </row>
    <row r="10" spans="2:12" ht="18.75" x14ac:dyDescent="0.25">
      <c r="B10" s="3">
        <v>7</v>
      </c>
      <c r="C10" s="3" t="s">
        <v>8</v>
      </c>
      <c r="D10" s="3" t="s">
        <v>15</v>
      </c>
      <c r="E10" s="3">
        <v>677</v>
      </c>
      <c r="F10" s="4">
        <v>22.57328</v>
      </c>
      <c r="G10" s="4">
        <f t="shared" si="0"/>
        <v>5.6433200000000001</v>
      </c>
      <c r="H10" s="4">
        <v>4.5283112000000001</v>
      </c>
      <c r="I10" s="4">
        <f t="shared" si="1"/>
        <v>80.241971038324948</v>
      </c>
      <c r="J10" s="4">
        <f t="shared" si="2"/>
        <v>20.060492759581237</v>
      </c>
      <c r="K10" s="4">
        <v>3.1005221999999999</v>
      </c>
      <c r="L10" s="4">
        <f t="shared" si="3"/>
        <v>46.049952488648529</v>
      </c>
    </row>
    <row r="11" spans="2:12" ht="18.75" x14ac:dyDescent="0.25">
      <c r="B11" s="3">
        <v>8</v>
      </c>
      <c r="C11" s="3" t="s">
        <v>8</v>
      </c>
      <c r="D11" s="3" t="s">
        <v>16</v>
      </c>
      <c r="E11" s="3">
        <v>1119</v>
      </c>
      <c r="F11" s="4">
        <v>55.61448</v>
      </c>
      <c r="G11" s="4">
        <f t="shared" si="0"/>
        <v>13.90362</v>
      </c>
      <c r="H11" s="4">
        <v>10.6066956</v>
      </c>
      <c r="I11" s="4">
        <f t="shared" si="1"/>
        <v>76.287294963469947</v>
      </c>
      <c r="J11" s="4">
        <f t="shared" si="2"/>
        <v>19.071823740867487</v>
      </c>
      <c r="K11" s="4">
        <v>7.8817375999999992</v>
      </c>
      <c r="L11" s="4">
        <f t="shared" si="3"/>
        <v>34.573061655846054</v>
      </c>
    </row>
    <row r="12" spans="2:12" ht="18.75" x14ac:dyDescent="0.25">
      <c r="B12" s="3">
        <v>9</v>
      </c>
      <c r="C12" s="3" t="s">
        <v>17</v>
      </c>
      <c r="D12" s="3" t="s">
        <v>18</v>
      </c>
      <c r="E12" s="3">
        <v>884</v>
      </c>
      <c r="F12" s="4">
        <v>44.19</v>
      </c>
      <c r="G12" s="4">
        <f t="shared" si="0"/>
        <v>11.047499999999999</v>
      </c>
      <c r="H12" s="4">
        <v>9.6408418000000005</v>
      </c>
      <c r="I12" s="4">
        <f t="shared" si="1"/>
        <v>87.267180810138044</v>
      </c>
      <c r="J12" s="4">
        <f t="shared" si="2"/>
        <v>21.816795202534511</v>
      </c>
      <c r="K12" s="4">
        <v>6.8384374999999995</v>
      </c>
      <c r="L12" s="4">
        <f t="shared" si="3"/>
        <v>40.9801844354065</v>
      </c>
    </row>
    <row r="13" spans="2:12" ht="18.75" x14ac:dyDescent="0.25">
      <c r="B13" s="3">
        <v>10</v>
      </c>
      <c r="C13" s="3" t="s">
        <v>17</v>
      </c>
      <c r="D13" s="3" t="s">
        <v>19</v>
      </c>
      <c r="E13" s="3">
        <v>709</v>
      </c>
      <c r="F13" s="4">
        <v>31.6</v>
      </c>
      <c r="G13" s="4">
        <f t="shared" si="0"/>
        <v>7.9</v>
      </c>
      <c r="H13" s="4">
        <v>6.2071147999999994</v>
      </c>
      <c r="I13" s="4">
        <f t="shared" si="1"/>
        <v>78.571073417721507</v>
      </c>
      <c r="J13" s="4">
        <f t="shared" si="2"/>
        <v>19.642768354430377</v>
      </c>
      <c r="K13" s="4">
        <v>4.3347110000000004</v>
      </c>
      <c r="L13" s="4">
        <f t="shared" si="3"/>
        <v>43.195585588058783</v>
      </c>
    </row>
    <row r="14" spans="2:12" ht="18.75" x14ac:dyDescent="0.25">
      <c r="B14" s="3">
        <v>11</v>
      </c>
      <c r="C14" s="3" t="s">
        <v>17</v>
      </c>
      <c r="D14" s="3" t="s">
        <v>20</v>
      </c>
      <c r="E14" s="3">
        <v>572</v>
      </c>
      <c r="F14" s="4">
        <v>43.2</v>
      </c>
      <c r="G14" s="4">
        <f t="shared" si="0"/>
        <v>10.8</v>
      </c>
      <c r="H14" s="4">
        <v>8.6033659</v>
      </c>
      <c r="I14" s="4">
        <f t="shared" si="1"/>
        <v>79.660795370370366</v>
      </c>
      <c r="J14" s="4">
        <f t="shared" si="2"/>
        <v>19.915198842592591</v>
      </c>
      <c r="K14" s="4">
        <v>6.4695014999999998</v>
      </c>
      <c r="L14" s="4">
        <f t="shared" si="3"/>
        <v>32.983443933044917</v>
      </c>
    </row>
    <row r="15" spans="2:12" ht="18.75" x14ac:dyDescent="0.25">
      <c r="B15" s="3">
        <v>12</v>
      </c>
      <c r="C15" s="3" t="s">
        <v>17</v>
      </c>
      <c r="D15" s="3" t="s">
        <v>21</v>
      </c>
      <c r="E15" s="3">
        <v>622</v>
      </c>
      <c r="F15" s="4">
        <v>27.5</v>
      </c>
      <c r="G15" s="4">
        <f t="shared" si="0"/>
        <v>6.875</v>
      </c>
      <c r="H15" s="4">
        <v>5.0059540000000009</v>
      </c>
      <c r="I15" s="4">
        <f t="shared" si="1"/>
        <v>72.813876363636382</v>
      </c>
      <c r="J15" s="4">
        <f t="shared" si="2"/>
        <v>18.203469090909095</v>
      </c>
      <c r="K15" s="4">
        <v>3.6795675000000001</v>
      </c>
      <c r="L15" s="4">
        <f t="shared" si="3"/>
        <v>36.047347955975823</v>
      </c>
    </row>
    <row r="16" spans="2:12" ht="18.75" x14ac:dyDescent="0.25">
      <c r="B16" s="3">
        <v>13</v>
      </c>
      <c r="C16" s="3" t="s">
        <v>17</v>
      </c>
      <c r="D16" s="3" t="s">
        <v>22</v>
      </c>
      <c r="E16" s="3">
        <v>575</v>
      </c>
      <c r="F16" s="4">
        <v>23.9</v>
      </c>
      <c r="G16" s="4">
        <f t="shared" si="0"/>
        <v>5.9749999999999996</v>
      </c>
      <c r="H16" s="4">
        <v>4.1756653000000004</v>
      </c>
      <c r="I16" s="4">
        <f t="shared" si="1"/>
        <v>69.885611715481176</v>
      </c>
      <c r="J16" s="4">
        <f t="shared" si="2"/>
        <v>17.471402928870294</v>
      </c>
      <c r="K16" s="4">
        <v>3.3863576000000002</v>
      </c>
      <c r="L16" s="4">
        <f t="shared" si="3"/>
        <v>23.308456850511007</v>
      </c>
    </row>
    <row r="17" spans="2:12" ht="18.75" x14ac:dyDescent="0.25">
      <c r="B17" s="3">
        <v>14</v>
      </c>
      <c r="C17" s="3" t="s">
        <v>17</v>
      </c>
      <c r="D17" s="3" t="s">
        <v>23</v>
      </c>
      <c r="E17" s="3">
        <v>557</v>
      </c>
      <c r="F17" s="4">
        <v>30.2</v>
      </c>
      <c r="G17" s="4">
        <f t="shared" si="0"/>
        <v>7.55</v>
      </c>
      <c r="H17" s="4">
        <v>5.7373167</v>
      </c>
      <c r="I17" s="4">
        <f t="shared" si="1"/>
        <v>75.99094966887418</v>
      </c>
      <c r="J17" s="4">
        <f t="shared" si="2"/>
        <v>18.997737417218545</v>
      </c>
      <c r="K17" s="4">
        <v>4.1165363999999993</v>
      </c>
      <c r="L17" s="4">
        <f t="shared" si="3"/>
        <v>39.372427266767303</v>
      </c>
    </row>
    <row r="18" spans="2:12" ht="18.75" x14ac:dyDescent="0.25">
      <c r="B18" s="3">
        <v>15</v>
      </c>
      <c r="C18" s="3" t="s">
        <v>17</v>
      </c>
      <c r="D18" s="3" t="s">
        <v>24</v>
      </c>
      <c r="E18" s="3">
        <v>888</v>
      </c>
      <c r="F18" s="4">
        <v>41.35</v>
      </c>
      <c r="G18" s="4">
        <f t="shared" si="0"/>
        <v>10.3375</v>
      </c>
      <c r="H18" s="4">
        <v>8.504350500000001</v>
      </c>
      <c r="I18" s="4">
        <f t="shared" si="1"/>
        <v>82.26699395405079</v>
      </c>
      <c r="J18" s="4">
        <f t="shared" si="2"/>
        <v>20.566748488512697</v>
      </c>
      <c r="K18" s="4">
        <v>6.3335425999999995</v>
      </c>
      <c r="L18" s="4">
        <f t="shared" si="3"/>
        <v>34.274781699581553</v>
      </c>
    </row>
    <row r="19" spans="2:12" ht="18.75" x14ac:dyDescent="0.25">
      <c r="B19" s="3">
        <v>16</v>
      </c>
      <c r="C19" s="3" t="s">
        <v>17</v>
      </c>
      <c r="D19" s="3" t="s">
        <v>25</v>
      </c>
      <c r="E19" s="3">
        <v>948</v>
      </c>
      <c r="F19" s="4">
        <v>47</v>
      </c>
      <c r="G19" s="4">
        <f t="shared" si="0"/>
        <v>11.75</v>
      </c>
      <c r="H19" s="4">
        <v>9.5234424000000004</v>
      </c>
      <c r="I19" s="4">
        <f t="shared" si="1"/>
        <v>81.050573617021286</v>
      </c>
      <c r="J19" s="4">
        <f t="shared" si="2"/>
        <v>20.262643404255321</v>
      </c>
      <c r="K19" s="4">
        <v>6.7702083999999996</v>
      </c>
      <c r="L19" s="4">
        <f t="shared" si="3"/>
        <v>40.666901775135919</v>
      </c>
    </row>
    <row r="20" spans="2:12" ht="18.75" x14ac:dyDescent="0.25">
      <c r="B20" s="3">
        <v>17</v>
      </c>
      <c r="C20" s="3" t="s">
        <v>17</v>
      </c>
      <c r="D20" s="3" t="s">
        <v>26</v>
      </c>
      <c r="E20" s="3">
        <v>996</v>
      </c>
      <c r="F20" s="4">
        <v>42.15</v>
      </c>
      <c r="G20" s="4">
        <f t="shared" si="0"/>
        <v>10.5375</v>
      </c>
      <c r="H20" s="4">
        <v>8.1150757000000002</v>
      </c>
      <c r="I20" s="4">
        <f t="shared" si="1"/>
        <v>77.011394543297754</v>
      </c>
      <c r="J20" s="4">
        <f t="shared" si="2"/>
        <v>19.252848635824439</v>
      </c>
      <c r="K20" s="4">
        <v>5.9914383999999998</v>
      </c>
      <c r="L20" s="4">
        <f t="shared" si="3"/>
        <v>35.44453198417262</v>
      </c>
    </row>
    <row r="21" spans="2:12" ht="18.75" x14ac:dyDescent="0.25">
      <c r="B21" s="3">
        <v>18</v>
      </c>
      <c r="C21" s="3" t="s">
        <v>17</v>
      </c>
      <c r="D21" s="3" t="s">
        <v>27</v>
      </c>
      <c r="E21" s="3">
        <v>987</v>
      </c>
      <c r="F21" s="4">
        <v>34.299999999999997</v>
      </c>
      <c r="G21" s="4">
        <f t="shared" si="0"/>
        <v>8.5749999999999993</v>
      </c>
      <c r="H21" s="4">
        <v>6.4476972000000004</v>
      </c>
      <c r="I21" s="4">
        <f t="shared" si="1"/>
        <v>75.191804081632668</v>
      </c>
      <c r="J21" s="4">
        <f t="shared" si="2"/>
        <v>18.797951020408167</v>
      </c>
      <c r="K21" s="4">
        <v>4.7069437999999995</v>
      </c>
      <c r="L21" s="4">
        <f t="shared" si="3"/>
        <v>36.982668031855425</v>
      </c>
    </row>
    <row r="22" spans="2:12" ht="18.75" x14ac:dyDescent="0.25">
      <c r="B22" s="3">
        <v>19</v>
      </c>
      <c r="C22" s="3" t="s">
        <v>17</v>
      </c>
      <c r="D22" s="3" t="s">
        <v>28</v>
      </c>
      <c r="E22" s="3">
        <v>528</v>
      </c>
      <c r="F22" s="4">
        <v>27.06</v>
      </c>
      <c r="G22" s="4">
        <f t="shared" si="0"/>
        <v>6.7649999999999997</v>
      </c>
      <c r="H22" s="4">
        <v>5.3907594999999997</v>
      </c>
      <c r="I22" s="4">
        <f t="shared" si="1"/>
        <v>79.686023651145604</v>
      </c>
      <c r="J22" s="4">
        <f t="shared" si="2"/>
        <v>19.921505912786401</v>
      </c>
      <c r="K22" s="4">
        <v>3.7272349999999999</v>
      </c>
      <c r="L22" s="4">
        <f t="shared" si="3"/>
        <v>44.631596880797694</v>
      </c>
    </row>
    <row r="23" spans="2:12" ht="18.75" x14ac:dyDescent="0.25">
      <c r="B23" s="3">
        <v>20</v>
      </c>
      <c r="C23" s="3" t="s">
        <v>17</v>
      </c>
      <c r="D23" s="3" t="s">
        <v>29</v>
      </c>
      <c r="E23" s="3">
        <v>725</v>
      </c>
      <c r="F23" s="4">
        <v>32.85</v>
      </c>
      <c r="G23" s="4">
        <f t="shared" si="0"/>
        <v>8.2125000000000004</v>
      </c>
      <c r="H23" s="4">
        <v>5.9932058999999995</v>
      </c>
      <c r="I23" s="4">
        <f t="shared" si="1"/>
        <v>72.976631963470311</v>
      </c>
      <c r="J23" s="4">
        <f t="shared" si="2"/>
        <v>18.244157990867578</v>
      </c>
      <c r="K23" s="4">
        <v>4.7571472999999997</v>
      </c>
      <c r="L23" s="4">
        <f t="shared" si="3"/>
        <v>25.983189547231383</v>
      </c>
    </row>
    <row r="24" spans="2:12" ht="18.75" x14ac:dyDescent="0.25">
      <c r="B24" s="3">
        <v>21</v>
      </c>
      <c r="C24" s="3" t="s">
        <v>17</v>
      </c>
      <c r="D24" s="3" t="s">
        <v>30</v>
      </c>
      <c r="E24" s="3">
        <v>1005</v>
      </c>
      <c r="F24" s="4">
        <v>45.14</v>
      </c>
      <c r="G24" s="4">
        <f t="shared" si="0"/>
        <v>11.285</v>
      </c>
      <c r="H24" s="4">
        <v>9.8185628000000005</v>
      </c>
      <c r="I24" s="4">
        <f t="shared" si="1"/>
        <v>87.005430217102358</v>
      </c>
      <c r="J24" s="4">
        <f t="shared" si="2"/>
        <v>21.751357554275589</v>
      </c>
      <c r="K24" s="4">
        <v>7.0962015000000003</v>
      </c>
      <c r="L24" s="4">
        <f t="shared" si="3"/>
        <v>38.36364144958398</v>
      </c>
    </row>
    <row r="25" spans="2:12" ht="18.75" x14ac:dyDescent="0.25">
      <c r="B25" s="3">
        <v>22</v>
      </c>
      <c r="C25" s="3" t="s">
        <v>31</v>
      </c>
      <c r="D25" s="5" t="s">
        <v>32</v>
      </c>
      <c r="E25" s="5">
        <v>589</v>
      </c>
      <c r="F25" s="4">
        <v>26</v>
      </c>
      <c r="G25" s="4">
        <f t="shared" si="0"/>
        <v>6.5</v>
      </c>
      <c r="H25" s="4">
        <v>5.1163581999999996</v>
      </c>
      <c r="I25" s="4">
        <f t="shared" si="1"/>
        <v>78.713203076923065</v>
      </c>
      <c r="J25" s="4">
        <f t="shared" si="2"/>
        <v>19.678300769230766</v>
      </c>
      <c r="K25" s="4">
        <v>3.4462181999999997</v>
      </c>
      <c r="L25" s="4">
        <f t="shared" si="3"/>
        <v>48.462978925710509</v>
      </c>
    </row>
    <row r="26" spans="2:12" ht="18.75" x14ac:dyDescent="0.25">
      <c r="B26" s="3">
        <v>23</v>
      </c>
      <c r="C26" s="3" t="s">
        <v>31</v>
      </c>
      <c r="D26" s="5" t="s">
        <v>33</v>
      </c>
      <c r="E26" s="5">
        <v>1054</v>
      </c>
      <c r="F26" s="4">
        <v>31</v>
      </c>
      <c r="G26" s="4">
        <f t="shared" si="0"/>
        <v>7.75</v>
      </c>
      <c r="H26" s="4">
        <v>6.5981532000000005</v>
      </c>
      <c r="I26" s="4">
        <f t="shared" si="1"/>
        <v>85.137460645161298</v>
      </c>
      <c r="J26" s="4">
        <f t="shared" si="2"/>
        <v>21.284365161290324</v>
      </c>
      <c r="K26" s="4">
        <v>4.5589433000000001</v>
      </c>
      <c r="L26" s="4">
        <f t="shared" si="3"/>
        <v>44.729880715998384</v>
      </c>
    </row>
    <row r="27" spans="2:12" ht="18.75" x14ac:dyDescent="0.25">
      <c r="B27" s="3">
        <v>24</v>
      </c>
      <c r="C27" s="3" t="s">
        <v>31</v>
      </c>
      <c r="D27" s="5" t="s">
        <v>34</v>
      </c>
      <c r="E27" s="5">
        <v>724</v>
      </c>
      <c r="F27" s="4">
        <v>24</v>
      </c>
      <c r="G27" s="4">
        <f t="shared" si="0"/>
        <v>6</v>
      </c>
      <c r="H27" s="4">
        <v>4.8270604000000006</v>
      </c>
      <c r="I27" s="4">
        <f t="shared" si="1"/>
        <v>80.451006666666686</v>
      </c>
      <c r="J27" s="4">
        <f t="shared" si="2"/>
        <v>20.112751666666671</v>
      </c>
      <c r="K27" s="4">
        <v>3.3661194999999999</v>
      </c>
      <c r="L27" s="4">
        <f t="shared" si="3"/>
        <v>43.401337950123299</v>
      </c>
    </row>
    <row r="28" spans="2:12" ht="18.75" x14ac:dyDescent="0.25">
      <c r="B28" s="3">
        <v>25</v>
      </c>
      <c r="C28" s="3" t="s">
        <v>31</v>
      </c>
      <c r="D28" s="5" t="s">
        <v>35</v>
      </c>
      <c r="E28" s="5">
        <v>759</v>
      </c>
      <c r="F28" s="4">
        <v>53</v>
      </c>
      <c r="G28" s="4">
        <f t="shared" si="0"/>
        <v>13.25</v>
      </c>
      <c r="H28" s="4">
        <v>10.8764053</v>
      </c>
      <c r="I28" s="4">
        <f t="shared" si="1"/>
        <v>82.086077735849059</v>
      </c>
      <c r="J28" s="4">
        <f t="shared" si="2"/>
        <v>20.521519433962265</v>
      </c>
      <c r="K28" s="4">
        <v>7.4180010000000003</v>
      </c>
      <c r="L28" s="4">
        <f t="shared" si="3"/>
        <v>46.621782606931433</v>
      </c>
    </row>
    <row r="29" spans="2:12" ht="18.75" x14ac:dyDescent="0.25">
      <c r="B29" s="3">
        <v>26</v>
      </c>
      <c r="C29" s="3" t="s">
        <v>31</v>
      </c>
      <c r="D29" s="5" t="s">
        <v>36</v>
      </c>
      <c r="E29" s="5">
        <v>887</v>
      </c>
      <c r="F29" s="4">
        <v>33</v>
      </c>
      <c r="G29" s="4">
        <f t="shared" si="0"/>
        <v>8.25</v>
      </c>
      <c r="H29" s="4">
        <v>6.5510403000000004</v>
      </c>
      <c r="I29" s="4">
        <f t="shared" si="1"/>
        <v>79.406549090909095</v>
      </c>
      <c r="J29" s="4">
        <f t="shared" si="2"/>
        <v>19.851637272727274</v>
      </c>
      <c r="K29" s="4">
        <v>4.5517892</v>
      </c>
      <c r="L29" s="4">
        <f t="shared" si="3"/>
        <v>43.922313010453131</v>
      </c>
    </row>
    <row r="30" spans="2:12" ht="18.75" x14ac:dyDescent="0.25">
      <c r="B30" s="3">
        <v>27</v>
      </c>
      <c r="C30" s="3" t="s">
        <v>31</v>
      </c>
      <c r="D30" s="5" t="s">
        <v>37</v>
      </c>
      <c r="E30" s="5">
        <v>1181</v>
      </c>
      <c r="F30" s="4">
        <v>79</v>
      </c>
      <c r="G30" s="4">
        <f t="shared" si="0"/>
        <v>19.75</v>
      </c>
      <c r="H30" s="4">
        <v>16.5518134</v>
      </c>
      <c r="I30" s="4">
        <f t="shared" si="1"/>
        <v>83.806650126582284</v>
      </c>
      <c r="J30" s="4">
        <f t="shared" si="2"/>
        <v>20.951662531645571</v>
      </c>
      <c r="K30" s="4">
        <v>11.4470125</v>
      </c>
      <c r="L30" s="4">
        <f t="shared" si="3"/>
        <v>44.595049581714015</v>
      </c>
    </row>
    <row r="31" spans="2:12" ht="18.75" x14ac:dyDescent="0.25">
      <c r="B31" s="3">
        <v>28</v>
      </c>
      <c r="C31" s="3" t="s">
        <v>31</v>
      </c>
      <c r="D31" s="5" t="s">
        <v>38</v>
      </c>
      <c r="E31" s="5">
        <v>858</v>
      </c>
      <c r="F31" s="4">
        <v>10</v>
      </c>
      <c r="G31" s="4">
        <f t="shared" si="0"/>
        <v>2.5</v>
      </c>
      <c r="H31" s="4">
        <v>2.1176604999999999</v>
      </c>
      <c r="I31" s="4">
        <f t="shared" si="1"/>
        <v>84.706419999999994</v>
      </c>
      <c r="J31" s="4">
        <f t="shared" si="2"/>
        <v>21.176604999999999</v>
      </c>
      <c r="K31" s="4">
        <v>1.4807721</v>
      </c>
      <c r="L31" s="4">
        <f t="shared" si="3"/>
        <v>43.010561854859361</v>
      </c>
    </row>
    <row r="32" spans="2:12" ht="18.75" x14ac:dyDescent="0.25">
      <c r="B32" s="3">
        <v>29</v>
      </c>
      <c r="C32" s="3" t="s">
        <v>31</v>
      </c>
      <c r="D32" s="5" t="s">
        <v>39</v>
      </c>
      <c r="E32" s="5">
        <v>735</v>
      </c>
      <c r="F32" s="4">
        <v>32</v>
      </c>
      <c r="G32" s="4">
        <f t="shared" si="0"/>
        <v>8</v>
      </c>
      <c r="H32" s="4">
        <v>6.3738763999999994</v>
      </c>
      <c r="I32" s="4">
        <f t="shared" si="1"/>
        <v>79.67345499999999</v>
      </c>
      <c r="J32" s="4">
        <f t="shared" si="2"/>
        <v>19.918363749999997</v>
      </c>
      <c r="K32" s="4">
        <v>4.8623335999999995</v>
      </c>
      <c r="L32" s="4">
        <f t="shared" si="3"/>
        <v>31.086776933610643</v>
      </c>
    </row>
    <row r="33" spans="2:12" ht="28.5" customHeight="1" x14ac:dyDescent="0.25">
      <c r="B33" s="28" t="s">
        <v>40</v>
      </c>
      <c r="C33" s="28"/>
      <c r="D33" s="28"/>
      <c r="E33" s="1">
        <v>23865</v>
      </c>
      <c r="F33" s="6">
        <v>1060.0213599999997</v>
      </c>
      <c r="G33" s="6">
        <f t="shared" si="0"/>
        <v>265.00533999999993</v>
      </c>
      <c r="H33" s="6">
        <v>211.44232719999999</v>
      </c>
      <c r="I33" s="12">
        <f t="shared" si="1"/>
        <v>79.787949631505555</v>
      </c>
      <c r="J33" s="6">
        <f t="shared" si="2"/>
        <v>19.946987407876389</v>
      </c>
      <c r="K33" s="6">
        <f>SUM(K4:K32)</f>
        <v>151.07085889999999</v>
      </c>
      <c r="L33" s="12">
        <f>(H33-K33)/K33*100</f>
        <v>39.962351931792725</v>
      </c>
    </row>
    <row r="34" spans="2:12" x14ac:dyDescent="0.25">
      <c r="D34" s="7"/>
      <c r="E34" s="8"/>
      <c r="F34" s="8"/>
      <c r="G34" s="8"/>
      <c r="H34" s="8"/>
      <c r="I34" s="8"/>
      <c r="J34" s="8"/>
      <c r="K34" s="8"/>
      <c r="L34" s="8"/>
    </row>
    <row r="35" spans="2:12" ht="112.5" x14ac:dyDescent="0.25">
      <c r="D35" s="1" t="s">
        <v>1</v>
      </c>
      <c r="E35" s="2" t="s">
        <v>3</v>
      </c>
      <c r="F35" s="2" t="s">
        <v>4</v>
      </c>
      <c r="G35" s="2" t="s">
        <v>42</v>
      </c>
      <c r="H35" s="2" t="s">
        <v>43</v>
      </c>
      <c r="I35" s="2" t="s">
        <v>5</v>
      </c>
      <c r="J35" s="2" t="s">
        <v>6</v>
      </c>
      <c r="K35" s="2" t="s">
        <v>45</v>
      </c>
      <c r="L35" s="2" t="s">
        <v>7</v>
      </c>
    </row>
    <row r="36" spans="2:12" ht="18.75" x14ac:dyDescent="0.25">
      <c r="D36" s="3" t="s">
        <v>8</v>
      </c>
      <c r="E36" s="3">
        <v>7082</v>
      </c>
      <c r="F36" s="10">
        <v>301.58136000000002</v>
      </c>
      <c r="G36" s="10">
        <f>F36/12*3</f>
        <v>75.395340000000004</v>
      </c>
      <c r="H36" s="10">
        <v>59.26</v>
      </c>
      <c r="I36" s="10">
        <f>H36/G36*100</f>
        <v>78.599022167683032</v>
      </c>
      <c r="J36" s="10">
        <f>H36/F36*100</f>
        <v>19.649755541920758</v>
      </c>
      <c r="K36" s="10">
        <v>41.131189400000004</v>
      </c>
      <c r="L36" s="10">
        <f>(H36-K36)/K36*100</f>
        <v>44.075580756242353</v>
      </c>
    </row>
    <row r="37" spans="2:12" ht="18.75" x14ac:dyDescent="0.25">
      <c r="D37" s="3" t="s">
        <v>17</v>
      </c>
      <c r="E37" s="3">
        <v>9996</v>
      </c>
      <c r="F37" s="10">
        <v>470.44</v>
      </c>
      <c r="G37" s="10">
        <f t="shared" ref="G37:G39" si="4">F37/12*3</f>
        <v>117.61</v>
      </c>
      <c r="H37" s="10">
        <v>93.16</v>
      </c>
      <c r="I37" s="10">
        <f t="shared" ref="I37:I39" si="5">H37/G37*100</f>
        <v>79.210951449706656</v>
      </c>
      <c r="J37" s="10">
        <f t="shared" ref="J37:J39" si="6">H37/F37*100</f>
        <v>19.802737862426664</v>
      </c>
      <c r="K37" s="10">
        <v>68.207828500000005</v>
      </c>
      <c r="L37" s="10">
        <f t="shared" ref="L37:L38" si="7">(H37-K37)/K37*100</f>
        <v>36.58256251333377</v>
      </c>
    </row>
    <row r="38" spans="2:12" ht="18.75" x14ac:dyDescent="0.25">
      <c r="D38" s="3" t="s">
        <v>31</v>
      </c>
      <c r="E38" s="3">
        <v>6787</v>
      </c>
      <c r="F38" s="10">
        <v>288</v>
      </c>
      <c r="G38" s="10">
        <f t="shared" si="4"/>
        <v>72</v>
      </c>
      <c r="H38" s="10">
        <v>59.02</v>
      </c>
      <c r="I38" s="10">
        <f t="shared" si="5"/>
        <v>81.972222222222229</v>
      </c>
      <c r="J38" s="10">
        <f t="shared" si="6"/>
        <v>20.493055555555557</v>
      </c>
      <c r="K38" s="10">
        <v>41.731841000000003</v>
      </c>
      <c r="L38" s="10">
        <f t="shared" si="7"/>
        <v>41.426782489658194</v>
      </c>
    </row>
    <row r="39" spans="2:12" ht="31.5" customHeight="1" x14ac:dyDescent="0.25">
      <c r="D39" s="1" t="s">
        <v>41</v>
      </c>
      <c r="E39" s="1">
        <v>23865</v>
      </c>
      <c r="F39" s="6">
        <v>1060.02136</v>
      </c>
      <c r="G39" s="6">
        <f t="shared" si="4"/>
        <v>265.00533999999999</v>
      </c>
      <c r="H39" s="6">
        <v>211.44</v>
      </c>
      <c r="I39" s="13">
        <f t="shared" si="5"/>
        <v>79.78707146052227</v>
      </c>
      <c r="J39" s="13">
        <f t="shared" si="6"/>
        <v>19.946767865130568</v>
      </c>
      <c r="K39" s="11">
        <f>SUM(K36:K38)</f>
        <v>151.07085890000002</v>
      </c>
      <c r="L39" s="13">
        <f>(H39-K39)/K39*100</f>
        <v>39.960811462626808</v>
      </c>
    </row>
  </sheetData>
  <mergeCells count="2">
    <mergeCell ref="B2:L2"/>
    <mergeCell ref="B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PLI (2)</vt:lpstr>
      <vt:lpstr>PLI</vt:lpstr>
      <vt:lpstr>RPLI (2)</vt:lpstr>
      <vt:lpstr>RPLI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2026-07-02T12:49:19Z</cp:lastPrinted>
  <dcterms:created xsi:type="dcterms:W3CDTF">2026-06-03T05:51:23Z</dcterms:created>
  <dcterms:modified xsi:type="dcterms:W3CDTF">2026-07-03T11:34:23Z</dcterms:modified>
</cp:coreProperties>
</file>