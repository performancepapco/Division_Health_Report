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-27\All Channel Premium Collection Report\June-2026\"/>
    </mc:Choice>
  </mc:AlternateContent>
  <xr:revisionPtr revIDLastSave="0" documentId="13_ncr:1_{825467F1-8A34-4C7B-8956-F6018BE1AA89}" xr6:coauthVersionLast="47" xr6:coauthVersionMax="47" xr10:uidLastSave="{00000000-0000-0000-0000-000000000000}"/>
  <bookViews>
    <workbookView xWindow="-120" yWindow="-120" windowWidth="24240" windowHeight="13140" activeTab="2" xr2:uid="{E85B96F1-2774-43C5-BD6C-304947A9A4DB}"/>
  </bookViews>
  <sheets>
    <sheet name="PLI (2)" sheetId="3" r:id="rId1"/>
    <sheet name="PLI" sheetId="1" r:id="rId2"/>
    <sheet name="RPLI (2)" sheetId="4" r:id="rId3"/>
    <sheet name="RPLI" sheetId="2" r:id="rId4"/>
  </sheets>
  <definedNames>
    <definedName name="_xlnm._FilterDatabase" localSheetId="1" hidden="1">PLI!$D$35:$L$35</definedName>
    <definedName name="_xlnm._FilterDatabase" localSheetId="0" hidden="1">'PLI (2)'!$D$35:$L$35</definedName>
    <definedName name="_xlnm._FilterDatabase" localSheetId="3" hidden="1">RPLI!$C$3:$L$3</definedName>
    <definedName name="_xlnm._FilterDatabase" localSheetId="2" hidden="1">'RPLI (2)'!$D$35:$L$35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9" i="4" l="1"/>
  <c r="L39" i="4" s="1"/>
  <c r="J39" i="4"/>
  <c r="G39" i="4"/>
  <c r="I39" i="4" s="1"/>
  <c r="L37" i="4"/>
  <c r="J37" i="4"/>
  <c r="G37" i="4"/>
  <c r="I37" i="4" s="1"/>
  <c r="L36" i="4"/>
  <c r="J36" i="4"/>
  <c r="G36" i="4"/>
  <c r="I36" i="4" s="1"/>
  <c r="L38" i="4"/>
  <c r="J38" i="4"/>
  <c r="G38" i="4"/>
  <c r="I38" i="4" s="1"/>
  <c r="K33" i="4"/>
  <c r="L33" i="4" s="1"/>
  <c r="J33" i="4"/>
  <c r="G33" i="4"/>
  <c r="I33" i="4" s="1"/>
  <c r="L18" i="4"/>
  <c r="J18" i="4"/>
  <c r="G18" i="4"/>
  <c r="I18" i="4" s="1"/>
  <c r="L15" i="4"/>
  <c r="J15" i="4"/>
  <c r="G15" i="4"/>
  <c r="I15" i="4" s="1"/>
  <c r="L11" i="4"/>
  <c r="J11" i="4"/>
  <c r="G11" i="4"/>
  <c r="I11" i="4" s="1"/>
  <c r="L20" i="4"/>
  <c r="J20" i="4"/>
  <c r="G20" i="4"/>
  <c r="I20" i="4" s="1"/>
  <c r="L17" i="4"/>
  <c r="J17" i="4"/>
  <c r="G17" i="4"/>
  <c r="I17" i="4" s="1"/>
  <c r="L19" i="4"/>
  <c r="J19" i="4"/>
  <c r="G19" i="4"/>
  <c r="I19" i="4" s="1"/>
  <c r="L13" i="4"/>
  <c r="J13" i="4"/>
  <c r="G13" i="4"/>
  <c r="I13" i="4" s="1"/>
  <c r="L24" i="4"/>
  <c r="J24" i="4"/>
  <c r="G24" i="4"/>
  <c r="I24" i="4" s="1"/>
  <c r="L7" i="4"/>
  <c r="J7" i="4"/>
  <c r="G7" i="4"/>
  <c r="I7" i="4" s="1"/>
  <c r="L21" i="4"/>
  <c r="J21" i="4"/>
  <c r="G21" i="4"/>
  <c r="I21" i="4" s="1"/>
  <c r="L10" i="4"/>
  <c r="J10" i="4"/>
  <c r="G10" i="4"/>
  <c r="I10" i="4" s="1"/>
  <c r="L31" i="4"/>
  <c r="J31" i="4"/>
  <c r="G31" i="4"/>
  <c r="I31" i="4" s="1"/>
  <c r="L23" i="4"/>
  <c r="J23" i="4"/>
  <c r="G23" i="4"/>
  <c r="I23" i="4" s="1"/>
  <c r="L12" i="4"/>
  <c r="J12" i="4"/>
  <c r="G12" i="4"/>
  <c r="I12" i="4" s="1"/>
  <c r="L26" i="4"/>
  <c r="J26" i="4"/>
  <c r="G26" i="4"/>
  <c r="I26" i="4" s="1"/>
  <c r="L6" i="4"/>
  <c r="J6" i="4"/>
  <c r="G6" i="4"/>
  <c r="I6" i="4" s="1"/>
  <c r="L30" i="4"/>
  <c r="J30" i="4"/>
  <c r="G30" i="4"/>
  <c r="I30" i="4" s="1"/>
  <c r="L29" i="4"/>
  <c r="J29" i="4"/>
  <c r="G29" i="4"/>
  <c r="I29" i="4" s="1"/>
  <c r="L4" i="4"/>
  <c r="J4" i="4"/>
  <c r="G4" i="4"/>
  <c r="I4" i="4" s="1"/>
  <c r="L9" i="4"/>
  <c r="J9" i="4"/>
  <c r="G9" i="4"/>
  <c r="I9" i="4" s="1"/>
  <c r="L5" i="4"/>
  <c r="J5" i="4"/>
  <c r="G5" i="4"/>
  <c r="I5" i="4" s="1"/>
  <c r="L16" i="4"/>
  <c r="J16" i="4"/>
  <c r="G16" i="4"/>
  <c r="I16" i="4" s="1"/>
  <c r="L32" i="4"/>
  <c r="J32" i="4"/>
  <c r="G32" i="4"/>
  <c r="I32" i="4" s="1"/>
  <c r="L22" i="4"/>
  <c r="J22" i="4"/>
  <c r="G22" i="4"/>
  <c r="I22" i="4" s="1"/>
  <c r="L27" i="4"/>
  <c r="J27" i="4"/>
  <c r="G27" i="4"/>
  <c r="I27" i="4" s="1"/>
  <c r="L25" i="4"/>
  <c r="J25" i="4"/>
  <c r="G25" i="4"/>
  <c r="I25" i="4" s="1"/>
  <c r="L8" i="4"/>
  <c r="J8" i="4"/>
  <c r="G8" i="4"/>
  <c r="I8" i="4" s="1"/>
  <c r="L14" i="4"/>
  <c r="J14" i="4"/>
  <c r="G14" i="4"/>
  <c r="I14" i="4" s="1"/>
  <c r="L28" i="4"/>
  <c r="J28" i="4"/>
  <c r="G28" i="4"/>
  <c r="I28" i="4" s="1"/>
  <c r="K39" i="3"/>
  <c r="L39" i="3" s="1"/>
  <c r="F39" i="3"/>
  <c r="J39" i="3" s="1"/>
  <c r="L36" i="3"/>
  <c r="J36" i="3"/>
  <c r="G36" i="3"/>
  <c r="I36" i="3" s="1"/>
  <c r="L37" i="3"/>
  <c r="J37" i="3"/>
  <c r="G37" i="3"/>
  <c r="I37" i="3" s="1"/>
  <c r="L38" i="3"/>
  <c r="J38" i="3"/>
  <c r="G38" i="3"/>
  <c r="I38" i="3" s="1"/>
  <c r="K33" i="3"/>
  <c r="L33" i="3" s="1"/>
  <c r="J33" i="3"/>
  <c r="G33" i="3"/>
  <c r="I33" i="3" s="1"/>
  <c r="L17" i="3"/>
  <c r="J17" i="3"/>
  <c r="G17" i="3"/>
  <c r="I17" i="3" s="1"/>
  <c r="L12" i="3"/>
  <c r="J12" i="3"/>
  <c r="G12" i="3"/>
  <c r="I12" i="3" s="1"/>
  <c r="L11" i="3"/>
  <c r="J11" i="3"/>
  <c r="G11" i="3"/>
  <c r="I11" i="3" s="1"/>
  <c r="L10" i="3"/>
  <c r="J10" i="3"/>
  <c r="G10" i="3"/>
  <c r="I10" i="3" s="1"/>
  <c r="L18" i="3"/>
  <c r="J18" i="3"/>
  <c r="G18" i="3"/>
  <c r="I18" i="3" s="1"/>
  <c r="L15" i="3"/>
  <c r="J15" i="3"/>
  <c r="G15" i="3"/>
  <c r="I15" i="3" s="1"/>
  <c r="L9" i="3"/>
  <c r="J9" i="3"/>
  <c r="G9" i="3"/>
  <c r="I9" i="3" s="1"/>
  <c r="L16" i="3"/>
  <c r="J16" i="3"/>
  <c r="G16" i="3"/>
  <c r="I16" i="3" s="1"/>
  <c r="L4" i="3"/>
  <c r="J4" i="3"/>
  <c r="G4" i="3"/>
  <c r="I4" i="3" s="1"/>
  <c r="L14" i="3"/>
  <c r="J14" i="3"/>
  <c r="G14" i="3"/>
  <c r="I14" i="3" s="1"/>
  <c r="L6" i="3"/>
  <c r="J6" i="3"/>
  <c r="G6" i="3"/>
  <c r="I6" i="3" s="1"/>
  <c r="L30" i="3"/>
  <c r="J30" i="3"/>
  <c r="G30" i="3"/>
  <c r="I30" i="3" s="1"/>
  <c r="L23" i="3"/>
  <c r="J23" i="3"/>
  <c r="G23" i="3"/>
  <c r="I23" i="3" s="1"/>
  <c r="L27" i="3"/>
  <c r="J27" i="3"/>
  <c r="G27" i="3"/>
  <c r="I27" i="3" s="1"/>
  <c r="L32" i="3"/>
  <c r="J32" i="3"/>
  <c r="G32" i="3"/>
  <c r="I32" i="3" s="1"/>
  <c r="L5" i="3"/>
  <c r="J5" i="3"/>
  <c r="G5" i="3"/>
  <c r="I5" i="3" s="1"/>
  <c r="L8" i="3"/>
  <c r="J8" i="3"/>
  <c r="G8" i="3"/>
  <c r="I8" i="3" s="1"/>
  <c r="L31" i="3"/>
  <c r="J31" i="3"/>
  <c r="G31" i="3"/>
  <c r="I31" i="3" s="1"/>
  <c r="L22" i="3"/>
  <c r="J22" i="3"/>
  <c r="G22" i="3"/>
  <c r="I22" i="3" s="1"/>
  <c r="L20" i="3"/>
  <c r="J20" i="3"/>
  <c r="G20" i="3"/>
  <c r="I20" i="3" s="1"/>
  <c r="L7" i="3"/>
  <c r="J7" i="3"/>
  <c r="G7" i="3"/>
  <c r="I7" i="3" s="1"/>
  <c r="L13" i="3"/>
  <c r="J13" i="3"/>
  <c r="G13" i="3"/>
  <c r="I13" i="3" s="1"/>
  <c r="L28" i="3"/>
  <c r="J28" i="3"/>
  <c r="G28" i="3"/>
  <c r="I28" i="3" s="1"/>
  <c r="L21" i="3"/>
  <c r="J21" i="3"/>
  <c r="G21" i="3"/>
  <c r="I21" i="3" s="1"/>
  <c r="L26" i="3"/>
  <c r="J26" i="3"/>
  <c r="G26" i="3"/>
  <c r="I26" i="3" s="1"/>
  <c r="L29" i="3"/>
  <c r="J29" i="3"/>
  <c r="G29" i="3"/>
  <c r="I29" i="3" s="1"/>
  <c r="L19" i="3"/>
  <c r="J19" i="3"/>
  <c r="G19" i="3"/>
  <c r="I19" i="3" s="1"/>
  <c r="L25" i="3"/>
  <c r="J25" i="3"/>
  <c r="G25" i="3"/>
  <c r="I25" i="3" s="1"/>
  <c r="L24" i="3"/>
  <c r="J24" i="3"/>
  <c r="G24" i="3"/>
  <c r="I24" i="3" s="1"/>
  <c r="G39" i="3" l="1"/>
  <c r="I39" i="3" s="1"/>
  <c r="L37" i="2"/>
  <c r="L38" i="2"/>
  <c r="L39" i="2"/>
  <c r="L36" i="2"/>
  <c r="L33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4" i="2"/>
  <c r="K39" i="2"/>
  <c r="K33" i="2"/>
  <c r="L37" i="1"/>
  <c r="L38" i="1"/>
  <c r="L39" i="1"/>
  <c r="L36" i="1"/>
  <c r="L33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4" i="1"/>
  <c r="K39" i="1"/>
  <c r="K33" i="1"/>
  <c r="J37" i="2" l="1"/>
  <c r="J38" i="2"/>
  <c r="J39" i="2"/>
  <c r="J36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4" i="2"/>
  <c r="I37" i="2"/>
  <c r="I38" i="2"/>
  <c r="I39" i="2"/>
  <c r="I36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4" i="2"/>
  <c r="J37" i="1" l="1"/>
  <c r="J38" i="1"/>
  <c r="J39" i="1"/>
  <c r="J36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4" i="1"/>
  <c r="I37" i="1"/>
  <c r="I38" i="1"/>
  <c r="I39" i="1"/>
  <c r="I36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4" i="1"/>
  <c r="G37" i="2"/>
  <c r="G38" i="2"/>
  <c r="G39" i="2"/>
  <c r="G36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4" i="2"/>
  <c r="G39" i="1"/>
  <c r="G37" i="1"/>
  <c r="G38" i="1"/>
  <c r="G36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4" i="1"/>
  <c r="F39" i="1" l="1"/>
</calcChain>
</file>

<file path=xl/sharedStrings.xml><?xml version="1.0" encoding="utf-8"?>
<sst xmlns="http://schemas.openxmlformats.org/spreadsheetml/2006/main" count="336" uniqueCount="47">
  <si>
    <t>S.No</t>
  </si>
  <si>
    <t>Region</t>
  </si>
  <si>
    <t>Divison</t>
  </si>
  <si>
    <t>No. of Regd sales force (DE/GDS/DA/FO)</t>
  </si>
  <si>
    <t>Total Target for FY 2026-27 (Rs. In Cr)</t>
  </si>
  <si>
    <t>% Achievement on proportionate Target</t>
  </si>
  <si>
    <t>% Achievement on actual Target</t>
  </si>
  <si>
    <t>YoY growth in comparision with previous year</t>
  </si>
  <si>
    <t>Visakhapatnam</t>
  </si>
  <si>
    <t xml:space="preserve">Srikakulam </t>
  </si>
  <si>
    <t>Vijayawada</t>
  </si>
  <si>
    <t xml:space="preserve">Bhimavaram </t>
  </si>
  <si>
    <t xml:space="preserve">Vijayawada </t>
  </si>
  <si>
    <t xml:space="preserve">Visakhapatnam </t>
  </si>
  <si>
    <t xml:space="preserve">Guntur </t>
  </si>
  <si>
    <t xml:space="preserve">Kakinada </t>
  </si>
  <si>
    <t xml:space="preserve">Rajahmundry </t>
  </si>
  <si>
    <t xml:space="preserve">Tadepalligudem </t>
  </si>
  <si>
    <t xml:space="preserve">Anakapalle </t>
  </si>
  <si>
    <t xml:space="preserve">Tenali </t>
  </si>
  <si>
    <t>Kurnool</t>
  </si>
  <si>
    <t xml:space="preserve">Tirupati </t>
  </si>
  <si>
    <t xml:space="preserve">Vizianagaram </t>
  </si>
  <si>
    <t xml:space="preserve">Cuddapah </t>
  </si>
  <si>
    <t xml:space="preserve">Parvathipuram </t>
  </si>
  <si>
    <t xml:space="preserve">Amalapuram </t>
  </si>
  <si>
    <t xml:space="preserve">Eluru </t>
  </si>
  <si>
    <t xml:space="preserve">Machilipatnam </t>
  </si>
  <si>
    <t xml:space="preserve">Narasaraopet </t>
  </si>
  <si>
    <t xml:space="preserve">Anantapur </t>
  </si>
  <si>
    <t xml:space="preserve">Gudivada </t>
  </si>
  <si>
    <t xml:space="preserve">Chittoor </t>
  </si>
  <si>
    <t xml:space="preserve">Kurnool </t>
  </si>
  <si>
    <t xml:space="preserve">Proddatur </t>
  </si>
  <si>
    <t xml:space="preserve">Nellore </t>
  </si>
  <si>
    <t xml:space="preserve">Prakasam </t>
  </si>
  <si>
    <t xml:space="preserve">Nandyal </t>
  </si>
  <si>
    <t xml:space="preserve">Gudur </t>
  </si>
  <si>
    <t xml:space="preserve">Hindupur </t>
  </si>
  <si>
    <t xml:space="preserve">Markapur  </t>
  </si>
  <si>
    <t>Grand total</t>
  </si>
  <si>
    <t>Total</t>
  </si>
  <si>
    <t xml:space="preserve">PLI New Business Premium up to the month of June-2026 for the FY 2026-27 (Rs. In Cr.) </t>
  </si>
  <si>
    <t>Achievement up to June-26 (Rs. In Cr)</t>
  </si>
  <si>
    <t>Achievement up to June-25  (FY 2025-26) (Rs. In Cr)</t>
  </si>
  <si>
    <t>Proportionate target upto June-26                 (Rs. In Cr)</t>
  </si>
  <si>
    <t xml:space="preserve">RPLI New Business Premium up to the month of June-2026 for the FY 2026-27 (Rs. In Cr.)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</si>
</sst>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4"/>
      <color theme="1"/>
      <name val="Aptos"/>
      <family val="2"/>
    </font>
    <font>
      <b/>
      <sz val="14"/>
      <color theme="1"/>
      <name val="Aptos"/>
      <family val="2"/>
    </font>
    <font>
      <b/>
      <sz val="14"/>
      <name val="Aptos"/>
      <family val="2"/>
    </font>
    <font>
      <b/>
      <sz val="15"/>
      <color theme="1"/>
      <name val="Aptos"/>
      <family val="2"/>
    </font>
    <font>
      <b/>
      <sz val="15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2" fontId="3" fillId="0" borderId="1" xfId="0" applyNumberFormat="1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0" fillId="0" borderId="1" xfId="0" applyNumberFormat="1" applyBorder="1"/>
    <xf numFmtId="2" fontId="2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FE0D6-70BD-4601-88C0-E987F2C3152A}">
  <sheetPr>
    <pageSetUpPr fitToPage="1"/>
  </sheetPr>
  <dimension ref="B2:L39"/>
  <sheetViews>
    <sheetView topLeftCell="B1" workbookViewId="0">
      <selection activeCell="G4" sqref="G4"/>
    </sheetView>
  </sheetViews>
  <sheetFormatPr defaultRowHeight="15" x14ac:dyDescent="0.25"/>
  <cols>
    <col min="2" max="2" width="7.28515625" bestFit="1" customWidth="1"/>
    <col min="3" max="3" width="25.42578125" customWidth="1"/>
    <col min="4" max="5" width="26" customWidth="1"/>
    <col min="6" max="6" width="18.140625" customWidth="1"/>
    <col min="7" max="7" width="18.85546875" customWidth="1"/>
    <col min="8" max="8" width="18" bestFit="1" customWidth="1"/>
    <col min="9" max="9" width="22.85546875" customWidth="1"/>
    <col min="10" max="10" width="19.7109375" customWidth="1"/>
    <col min="11" max="11" width="18.85546875" customWidth="1"/>
    <col min="12" max="12" width="19" customWidth="1"/>
  </cols>
  <sheetData>
    <row r="2" spans="2:12" ht="31.5" x14ac:dyDescent="0.25">
      <c r="B2" s="22" t="s">
        <v>42</v>
      </c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2:12" ht="101.25" customHeight="1" x14ac:dyDescent="0.25">
      <c r="B3" s="1" t="s">
        <v>0</v>
      </c>
      <c r="C3" s="1" t="s">
        <v>1</v>
      </c>
      <c r="D3" s="1" t="s">
        <v>2</v>
      </c>
      <c r="E3" s="2" t="s">
        <v>3</v>
      </c>
      <c r="F3" s="2" t="s">
        <v>4</v>
      </c>
      <c r="G3" s="2" t="s">
        <v>45</v>
      </c>
      <c r="H3" s="2" t="s">
        <v>43</v>
      </c>
      <c r="I3" s="2" t="s">
        <v>5</v>
      </c>
      <c r="J3" s="2" t="s">
        <v>6</v>
      </c>
      <c r="K3" s="2" t="s">
        <v>44</v>
      </c>
      <c r="L3" s="2" t="s">
        <v>7</v>
      </c>
    </row>
    <row r="4" spans="2:12" ht="19.5" x14ac:dyDescent="0.25">
      <c r="B4" s="14">
        <v>1</v>
      </c>
      <c r="C4" s="14" t="s">
        <v>10</v>
      </c>
      <c r="D4" s="14" t="s">
        <v>12</v>
      </c>
      <c r="E4" s="14">
        <v>1005</v>
      </c>
      <c r="F4" s="15">
        <v>13.67</v>
      </c>
      <c r="G4" s="15">
        <f t="shared" ref="G4:G32" si="0">F4/12*3</f>
        <v>3.4175</v>
      </c>
      <c r="H4" s="15">
        <v>3.0402448</v>
      </c>
      <c r="I4" s="15">
        <f t="shared" ref="I4:I32" si="1">H4/G4*100</f>
        <v>88.96107681053401</v>
      </c>
      <c r="J4" s="15">
        <f t="shared" ref="J4:J32" si="2">H4/F4*100</f>
        <v>22.240269202633502</v>
      </c>
      <c r="K4" s="15">
        <v>2.0294691</v>
      </c>
      <c r="L4" s="15">
        <f t="shared" ref="L4:L33" si="3">(H4-K4)/K4*100</f>
        <v>49.804931742986376</v>
      </c>
    </row>
    <row r="5" spans="2:12" ht="19.5" x14ac:dyDescent="0.25">
      <c r="B5" s="14">
        <v>2</v>
      </c>
      <c r="C5" s="14" t="s">
        <v>10</v>
      </c>
      <c r="D5" s="14" t="s">
        <v>27</v>
      </c>
      <c r="E5" s="14">
        <v>557</v>
      </c>
      <c r="F5" s="15">
        <v>6.83</v>
      </c>
      <c r="G5" s="15">
        <f t="shared" si="0"/>
        <v>1.7075</v>
      </c>
      <c r="H5" s="15">
        <v>1.4996241000000001</v>
      </c>
      <c r="I5" s="15">
        <f t="shared" si="1"/>
        <v>87.825715959004398</v>
      </c>
      <c r="J5" s="15">
        <f t="shared" si="2"/>
        <v>21.9564289897511</v>
      </c>
      <c r="K5" s="15">
        <v>0.925265</v>
      </c>
      <c r="L5" s="15">
        <f t="shared" si="3"/>
        <v>62.075092000670097</v>
      </c>
    </row>
    <row r="6" spans="2:12" ht="19.5" x14ac:dyDescent="0.25">
      <c r="B6" s="14">
        <v>3</v>
      </c>
      <c r="C6" s="14" t="s">
        <v>10</v>
      </c>
      <c r="D6" s="14" t="s">
        <v>17</v>
      </c>
      <c r="E6" s="14">
        <v>528</v>
      </c>
      <c r="F6" s="15">
        <v>6.97</v>
      </c>
      <c r="G6" s="15">
        <f t="shared" si="0"/>
        <v>1.7424999999999999</v>
      </c>
      <c r="H6" s="15">
        <v>1.4304203000000002</v>
      </c>
      <c r="I6" s="15">
        <f t="shared" si="1"/>
        <v>82.090117647058833</v>
      </c>
      <c r="J6" s="15">
        <f t="shared" si="2"/>
        <v>20.522529411764708</v>
      </c>
      <c r="K6" s="15">
        <v>0.7173834</v>
      </c>
      <c r="L6" s="15">
        <f t="shared" si="3"/>
        <v>99.394117566701453</v>
      </c>
    </row>
    <row r="7" spans="2:12" ht="19.5" x14ac:dyDescent="0.25">
      <c r="B7" s="14">
        <v>4</v>
      </c>
      <c r="C7" s="14" t="s">
        <v>10</v>
      </c>
      <c r="D7" s="14" t="s">
        <v>11</v>
      </c>
      <c r="E7" s="14">
        <v>884</v>
      </c>
      <c r="F7" s="15">
        <v>10.45</v>
      </c>
      <c r="G7" s="15">
        <f t="shared" si="0"/>
        <v>2.6124999999999998</v>
      </c>
      <c r="H7" s="15">
        <v>2.1109353</v>
      </c>
      <c r="I7" s="15">
        <f t="shared" si="1"/>
        <v>80.801351196172249</v>
      </c>
      <c r="J7" s="15">
        <f t="shared" si="2"/>
        <v>20.200337799043062</v>
      </c>
      <c r="K7" s="15">
        <v>1.3601525000000001</v>
      </c>
      <c r="L7" s="15">
        <f t="shared" si="3"/>
        <v>55.198428117435348</v>
      </c>
    </row>
    <row r="8" spans="2:12" ht="19.5" x14ac:dyDescent="0.25">
      <c r="B8" s="14">
        <v>5</v>
      </c>
      <c r="C8" s="14" t="s">
        <v>10</v>
      </c>
      <c r="D8" s="14" t="s">
        <v>14</v>
      </c>
      <c r="E8" s="14">
        <v>575</v>
      </c>
      <c r="F8" s="15">
        <v>7.46</v>
      </c>
      <c r="G8" s="15">
        <f t="shared" si="0"/>
        <v>1.8650000000000002</v>
      </c>
      <c r="H8" s="15">
        <v>1.4894265999999998</v>
      </c>
      <c r="I8" s="15">
        <f t="shared" si="1"/>
        <v>79.86201608579087</v>
      </c>
      <c r="J8" s="15">
        <f t="shared" si="2"/>
        <v>19.965504021447718</v>
      </c>
      <c r="K8" s="15">
        <v>0.97323910000000002</v>
      </c>
      <c r="L8" s="15">
        <f t="shared" si="3"/>
        <v>53.038097215781796</v>
      </c>
    </row>
    <row r="9" spans="2:12" ht="19.5" x14ac:dyDescent="0.25">
      <c r="B9" s="14">
        <v>6</v>
      </c>
      <c r="C9" s="14" t="s">
        <v>8</v>
      </c>
      <c r="D9" s="16" t="s">
        <v>18</v>
      </c>
      <c r="E9" s="16">
        <v>1054</v>
      </c>
      <c r="F9" s="15">
        <v>10</v>
      </c>
      <c r="G9" s="15">
        <f t="shared" si="0"/>
        <v>2.5</v>
      </c>
      <c r="H9" s="15">
        <v>1.9784081</v>
      </c>
      <c r="I9" s="15">
        <f t="shared" si="1"/>
        <v>79.136324000000002</v>
      </c>
      <c r="J9" s="15">
        <f t="shared" si="2"/>
        <v>19.784081</v>
      </c>
      <c r="K9" s="15">
        <v>1.1882239999999999</v>
      </c>
      <c r="L9" s="15">
        <f t="shared" si="3"/>
        <v>66.501274170526784</v>
      </c>
    </row>
    <row r="10" spans="2:12" ht="19.5" x14ac:dyDescent="0.25">
      <c r="B10" s="14">
        <v>7</v>
      </c>
      <c r="C10" s="14" t="s">
        <v>8</v>
      </c>
      <c r="D10" s="16" t="s">
        <v>16</v>
      </c>
      <c r="E10" s="16">
        <v>887</v>
      </c>
      <c r="F10" s="15">
        <v>9</v>
      </c>
      <c r="G10" s="15">
        <f t="shared" si="0"/>
        <v>2.25</v>
      </c>
      <c r="H10" s="15">
        <v>1.7582163999999998</v>
      </c>
      <c r="I10" s="15">
        <f t="shared" si="1"/>
        <v>78.142951111111103</v>
      </c>
      <c r="J10" s="15">
        <f t="shared" si="2"/>
        <v>19.535737777777776</v>
      </c>
      <c r="K10" s="15">
        <v>1.1182544000000001</v>
      </c>
      <c r="L10" s="15">
        <f t="shared" si="3"/>
        <v>57.228659238899446</v>
      </c>
    </row>
    <row r="11" spans="2:12" ht="19.5" x14ac:dyDescent="0.25">
      <c r="B11" s="14">
        <v>8</v>
      </c>
      <c r="C11" s="14" t="s">
        <v>8</v>
      </c>
      <c r="D11" s="16" t="s">
        <v>9</v>
      </c>
      <c r="E11" s="16">
        <v>1181</v>
      </c>
      <c r="F11" s="15">
        <v>16</v>
      </c>
      <c r="G11" s="15">
        <f t="shared" si="0"/>
        <v>4</v>
      </c>
      <c r="H11" s="15">
        <v>2.9526263999999998</v>
      </c>
      <c r="I11" s="15">
        <f t="shared" si="1"/>
        <v>73.815659999999994</v>
      </c>
      <c r="J11" s="15">
        <f t="shared" si="2"/>
        <v>18.453914999999999</v>
      </c>
      <c r="K11" s="15">
        <v>2.5006018000000001</v>
      </c>
      <c r="L11" s="15">
        <f t="shared" si="3"/>
        <v>18.076632593002198</v>
      </c>
    </row>
    <row r="12" spans="2:12" ht="19.5" x14ac:dyDescent="0.25">
      <c r="B12" s="14">
        <v>9</v>
      </c>
      <c r="C12" s="14" t="s">
        <v>8</v>
      </c>
      <c r="D12" s="16" t="s">
        <v>13</v>
      </c>
      <c r="E12" s="16">
        <v>858</v>
      </c>
      <c r="F12" s="15">
        <v>27</v>
      </c>
      <c r="G12" s="15">
        <f t="shared" si="0"/>
        <v>6.75</v>
      </c>
      <c r="H12" s="15">
        <v>4.7536491999999999</v>
      </c>
      <c r="I12" s="15">
        <f t="shared" si="1"/>
        <v>70.424432592592595</v>
      </c>
      <c r="J12" s="15">
        <f t="shared" si="2"/>
        <v>17.606108148148149</v>
      </c>
      <c r="K12" s="15">
        <v>3.2939240000000001</v>
      </c>
      <c r="L12" s="15">
        <f t="shared" si="3"/>
        <v>44.315691558153738</v>
      </c>
    </row>
    <row r="13" spans="2:12" ht="19.5" x14ac:dyDescent="0.25">
      <c r="B13" s="14">
        <v>10</v>
      </c>
      <c r="C13" s="14" t="s">
        <v>20</v>
      </c>
      <c r="D13" s="14" t="s">
        <v>21</v>
      </c>
      <c r="E13" s="14">
        <v>1119</v>
      </c>
      <c r="F13" s="15">
        <v>14.724561403508767</v>
      </c>
      <c r="G13" s="15">
        <f t="shared" si="0"/>
        <v>3.6811403508771918</v>
      </c>
      <c r="H13" s="15">
        <v>2.4624636999999998</v>
      </c>
      <c r="I13" s="15">
        <f t="shared" si="1"/>
        <v>66.894045466460156</v>
      </c>
      <c r="J13" s="15">
        <f t="shared" si="2"/>
        <v>16.723511366615039</v>
      </c>
      <c r="K13" s="15">
        <v>1.5837905000000001</v>
      </c>
      <c r="L13" s="15">
        <f t="shared" si="3"/>
        <v>55.479130604710633</v>
      </c>
    </row>
    <row r="14" spans="2:12" ht="19.5" x14ac:dyDescent="0.25">
      <c r="B14" s="14">
        <v>11</v>
      </c>
      <c r="C14" s="14" t="s">
        <v>10</v>
      </c>
      <c r="D14" s="14" t="s">
        <v>19</v>
      </c>
      <c r="E14" s="14">
        <v>725</v>
      </c>
      <c r="F14" s="15">
        <v>9.14</v>
      </c>
      <c r="G14" s="15">
        <f t="shared" si="0"/>
        <v>2.2850000000000001</v>
      </c>
      <c r="H14" s="15">
        <v>1.4991082</v>
      </c>
      <c r="I14" s="15">
        <f t="shared" si="1"/>
        <v>65.606485776805243</v>
      </c>
      <c r="J14" s="15">
        <f t="shared" si="2"/>
        <v>16.401621444201311</v>
      </c>
      <c r="K14" s="15">
        <v>1.0121058000000001</v>
      </c>
      <c r="L14" s="15">
        <f t="shared" si="3"/>
        <v>48.117736307804968</v>
      </c>
    </row>
    <row r="15" spans="2:12" ht="19.5" x14ac:dyDescent="0.25">
      <c r="B15" s="14">
        <v>12</v>
      </c>
      <c r="C15" s="14" t="s">
        <v>8</v>
      </c>
      <c r="D15" s="16" t="s">
        <v>15</v>
      </c>
      <c r="E15" s="16">
        <v>724</v>
      </c>
      <c r="F15" s="15">
        <v>9</v>
      </c>
      <c r="G15" s="15">
        <f t="shared" si="0"/>
        <v>2.25</v>
      </c>
      <c r="H15" s="15">
        <v>1.4652042999999999</v>
      </c>
      <c r="I15" s="15">
        <f t="shared" si="1"/>
        <v>65.120191111111097</v>
      </c>
      <c r="J15" s="15">
        <f t="shared" si="2"/>
        <v>16.280047777777774</v>
      </c>
      <c r="K15" s="15">
        <v>1.1039132</v>
      </c>
      <c r="L15" s="15">
        <f t="shared" si="3"/>
        <v>32.728216312659356</v>
      </c>
    </row>
    <row r="16" spans="2:12" ht="19.5" x14ac:dyDescent="0.25">
      <c r="B16" s="14">
        <v>13</v>
      </c>
      <c r="C16" s="14" t="s">
        <v>8</v>
      </c>
      <c r="D16" s="16" t="s">
        <v>25</v>
      </c>
      <c r="E16" s="16">
        <v>589</v>
      </c>
      <c r="F16" s="15">
        <v>6</v>
      </c>
      <c r="G16" s="15">
        <f t="shared" si="0"/>
        <v>1.5</v>
      </c>
      <c r="H16" s="15">
        <v>0.95668520000000001</v>
      </c>
      <c r="I16" s="15">
        <f t="shared" si="1"/>
        <v>63.779013333333332</v>
      </c>
      <c r="J16" s="15">
        <f t="shared" si="2"/>
        <v>15.944753333333333</v>
      </c>
      <c r="K16" s="15">
        <v>0.7551542</v>
      </c>
      <c r="L16" s="15">
        <f t="shared" si="3"/>
        <v>26.687397090554487</v>
      </c>
    </row>
    <row r="17" spans="2:12" ht="19.5" x14ac:dyDescent="0.25">
      <c r="B17" s="14">
        <v>14</v>
      </c>
      <c r="C17" s="14" t="s">
        <v>8</v>
      </c>
      <c r="D17" s="16" t="s">
        <v>22</v>
      </c>
      <c r="E17" s="16">
        <v>735</v>
      </c>
      <c r="F17" s="15">
        <v>12</v>
      </c>
      <c r="G17" s="15">
        <f t="shared" si="0"/>
        <v>3</v>
      </c>
      <c r="H17" s="15">
        <v>1.8917548000000002</v>
      </c>
      <c r="I17" s="15">
        <f t="shared" si="1"/>
        <v>63.058493333333345</v>
      </c>
      <c r="J17" s="15">
        <f t="shared" si="2"/>
        <v>15.764623333333336</v>
      </c>
      <c r="K17" s="15">
        <v>1.638709</v>
      </c>
      <c r="L17" s="15">
        <f t="shared" si="3"/>
        <v>15.44177764325455</v>
      </c>
    </row>
    <row r="18" spans="2:12" ht="19.5" x14ac:dyDescent="0.25">
      <c r="B18" s="14">
        <v>15</v>
      </c>
      <c r="C18" s="14" t="s">
        <v>8</v>
      </c>
      <c r="D18" s="16" t="s">
        <v>24</v>
      </c>
      <c r="E18" s="16">
        <v>759</v>
      </c>
      <c r="F18" s="15">
        <v>10</v>
      </c>
      <c r="G18" s="15">
        <f t="shared" si="0"/>
        <v>2.5</v>
      </c>
      <c r="H18" s="15">
        <v>1.5240443000000001</v>
      </c>
      <c r="I18" s="15">
        <f t="shared" si="1"/>
        <v>60.961772000000003</v>
      </c>
      <c r="J18" s="15">
        <f t="shared" si="2"/>
        <v>15.240443000000001</v>
      </c>
      <c r="K18" s="15">
        <v>1.2584698000000001</v>
      </c>
      <c r="L18" s="15">
        <f t="shared" si="3"/>
        <v>21.10296965409897</v>
      </c>
    </row>
    <row r="19" spans="2:12" ht="19.5" x14ac:dyDescent="0.25">
      <c r="B19" s="14">
        <v>16</v>
      </c>
      <c r="C19" s="14" t="s">
        <v>20</v>
      </c>
      <c r="D19" s="14" t="s">
        <v>23</v>
      </c>
      <c r="E19" s="14">
        <v>804</v>
      </c>
      <c r="F19" s="15">
        <v>14.278362573099411</v>
      </c>
      <c r="G19" s="15">
        <f t="shared" si="0"/>
        <v>3.5695906432748528</v>
      </c>
      <c r="H19" s="15">
        <v>2.1333970999999998</v>
      </c>
      <c r="I19" s="15">
        <f t="shared" si="1"/>
        <v>59.765875507863711</v>
      </c>
      <c r="J19" s="15">
        <f t="shared" si="2"/>
        <v>14.941468876965928</v>
      </c>
      <c r="K19" s="15">
        <v>1.3875453</v>
      </c>
      <c r="L19" s="15">
        <f t="shared" si="3"/>
        <v>53.753329711109245</v>
      </c>
    </row>
    <row r="20" spans="2:12" ht="19.5" x14ac:dyDescent="0.25">
      <c r="B20" s="14">
        <v>17</v>
      </c>
      <c r="C20" s="14" t="s">
        <v>10</v>
      </c>
      <c r="D20" s="14" t="s">
        <v>26</v>
      </c>
      <c r="E20" s="14">
        <v>709</v>
      </c>
      <c r="F20" s="15">
        <v>8.4499999999999993</v>
      </c>
      <c r="G20" s="15">
        <f t="shared" si="0"/>
        <v>2.1124999999999998</v>
      </c>
      <c r="H20" s="15">
        <v>1.228348</v>
      </c>
      <c r="I20" s="15">
        <f t="shared" si="1"/>
        <v>58.146650887573969</v>
      </c>
      <c r="J20" s="15">
        <f t="shared" si="2"/>
        <v>14.536662721893492</v>
      </c>
      <c r="K20" s="15">
        <v>1.0755222</v>
      </c>
      <c r="L20" s="15">
        <f t="shared" si="3"/>
        <v>14.209450999709725</v>
      </c>
    </row>
    <row r="21" spans="2:12" ht="19.5" x14ac:dyDescent="0.25">
      <c r="B21" s="14">
        <v>18</v>
      </c>
      <c r="C21" s="14" t="s">
        <v>20</v>
      </c>
      <c r="D21" s="14" t="s">
        <v>36</v>
      </c>
      <c r="E21" s="14">
        <v>743</v>
      </c>
      <c r="F21" s="15">
        <v>10.549415204678361</v>
      </c>
      <c r="G21" s="15">
        <f t="shared" si="0"/>
        <v>2.6373538011695903</v>
      </c>
      <c r="H21" s="15">
        <v>1.4138478000000001</v>
      </c>
      <c r="I21" s="15">
        <f t="shared" si="1"/>
        <v>53.608575359627494</v>
      </c>
      <c r="J21" s="15">
        <f t="shared" si="2"/>
        <v>13.402143839906874</v>
      </c>
      <c r="K21" s="15">
        <v>0.76536329999999997</v>
      </c>
      <c r="L21" s="15">
        <f t="shared" si="3"/>
        <v>84.728977728615959</v>
      </c>
    </row>
    <row r="22" spans="2:12" ht="19.5" x14ac:dyDescent="0.25">
      <c r="B22" s="14">
        <v>19</v>
      </c>
      <c r="C22" s="14" t="s">
        <v>10</v>
      </c>
      <c r="D22" s="14" t="s">
        <v>30</v>
      </c>
      <c r="E22" s="14">
        <v>572</v>
      </c>
      <c r="F22" s="15">
        <v>7.38</v>
      </c>
      <c r="G22" s="15">
        <f t="shared" si="0"/>
        <v>1.845</v>
      </c>
      <c r="H22" s="15">
        <v>0.95416900000000004</v>
      </c>
      <c r="I22" s="15">
        <f t="shared" si="1"/>
        <v>51.716476964769655</v>
      </c>
      <c r="J22" s="15">
        <f t="shared" si="2"/>
        <v>12.929119241192414</v>
      </c>
      <c r="K22" s="15">
        <v>0.61618399999999995</v>
      </c>
      <c r="L22" s="15">
        <f t="shared" si="3"/>
        <v>54.851310647468956</v>
      </c>
    </row>
    <row r="23" spans="2:12" ht="19.5" x14ac:dyDescent="0.25">
      <c r="B23" s="14">
        <v>20</v>
      </c>
      <c r="C23" s="14" t="s">
        <v>10</v>
      </c>
      <c r="D23" s="14" t="s">
        <v>34</v>
      </c>
      <c r="E23" s="14">
        <v>996</v>
      </c>
      <c r="F23" s="15">
        <v>13.25</v>
      </c>
      <c r="G23" s="15">
        <f t="shared" si="0"/>
        <v>3.3125</v>
      </c>
      <c r="H23" s="15">
        <v>1.6983476</v>
      </c>
      <c r="I23" s="15">
        <f t="shared" si="1"/>
        <v>51.270870943396233</v>
      </c>
      <c r="J23" s="15">
        <f t="shared" si="2"/>
        <v>12.817717735849058</v>
      </c>
      <c r="K23" s="15">
        <v>0.99398770000000003</v>
      </c>
      <c r="L23" s="15">
        <f t="shared" si="3"/>
        <v>70.862033805850913</v>
      </c>
    </row>
    <row r="24" spans="2:12" ht="19.5" x14ac:dyDescent="0.25">
      <c r="B24" s="14">
        <v>21</v>
      </c>
      <c r="C24" s="14" t="s">
        <v>20</v>
      </c>
      <c r="D24" s="14" t="s">
        <v>29</v>
      </c>
      <c r="E24" s="14">
        <v>1072</v>
      </c>
      <c r="F24" s="15">
        <v>15.043274853801167</v>
      </c>
      <c r="G24" s="15">
        <f t="shared" si="0"/>
        <v>3.7608187134502913</v>
      </c>
      <c r="H24" s="15">
        <v>1.8594503000000002</v>
      </c>
      <c r="I24" s="15">
        <f t="shared" si="1"/>
        <v>49.442699626807673</v>
      </c>
      <c r="J24" s="15">
        <f t="shared" si="2"/>
        <v>12.360674906701915</v>
      </c>
      <c r="K24" s="15">
        <v>1.1381798999999999</v>
      </c>
      <c r="L24" s="15">
        <f t="shared" si="3"/>
        <v>63.3705093544527</v>
      </c>
    </row>
    <row r="25" spans="2:12" ht="19.5" x14ac:dyDescent="0.25">
      <c r="B25" s="14">
        <v>22</v>
      </c>
      <c r="C25" s="14" t="s">
        <v>20</v>
      </c>
      <c r="D25" s="14" t="s">
        <v>31</v>
      </c>
      <c r="E25" s="14">
        <v>758</v>
      </c>
      <c r="F25" s="15">
        <v>13.545321637426898</v>
      </c>
      <c r="G25" s="15">
        <f t="shared" si="0"/>
        <v>3.3863304093567246</v>
      </c>
      <c r="H25" s="15">
        <v>1.6196312000000002</v>
      </c>
      <c r="I25" s="15">
        <f t="shared" si="1"/>
        <v>47.828504729627639</v>
      </c>
      <c r="J25" s="15">
        <f t="shared" si="2"/>
        <v>11.95712618240691</v>
      </c>
      <c r="K25" s="15">
        <v>1.1115737999999999</v>
      </c>
      <c r="L25" s="15">
        <f t="shared" si="3"/>
        <v>45.706133052074478</v>
      </c>
    </row>
    <row r="26" spans="2:12" ht="19.5" x14ac:dyDescent="0.25">
      <c r="B26" s="14">
        <v>23</v>
      </c>
      <c r="C26" s="14" t="s">
        <v>20</v>
      </c>
      <c r="D26" s="14" t="s">
        <v>32</v>
      </c>
      <c r="E26" s="14">
        <v>944</v>
      </c>
      <c r="F26" s="15">
        <v>13.832163742690053</v>
      </c>
      <c r="G26" s="15">
        <f t="shared" si="0"/>
        <v>3.4580409356725132</v>
      </c>
      <c r="H26" s="15">
        <v>1.5982890000000003</v>
      </c>
      <c r="I26" s="15">
        <f t="shared" si="1"/>
        <v>46.219493341225245</v>
      </c>
      <c r="J26" s="15">
        <f t="shared" si="2"/>
        <v>11.554873335306311</v>
      </c>
      <c r="K26" s="15">
        <v>0.84146860000000001</v>
      </c>
      <c r="L26" s="15">
        <f t="shared" si="3"/>
        <v>89.940420830913979</v>
      </c>
    </row>
    <row r="27" spans="2:12" ht="19.5" x14ac:dyDescent="0.25">
      <c r="B27" s="14">
        <v>24</v>
      </c>
      <c r="C27" s="14" t="s">
        <v>10</v>
      </c>
      <c r="D27" s="14" t="s">
        <v>28</v>
      </c>
      <c r="E27" s="14">
        <v>948</v>
      </c>
      <c r="F27" s="15">
        <v>12.66</v>
      </c>
      <c r="G27" s="15">
        <f t="shared" si="0"/>
        <v>3.165</v>
      </c>
      <c r="H27" s="15">
        <v>1.4133192000000001</v>
      </c>
      <c r="I27" s="15">
        <f t="shared" si="1"/>
        <v>44.654635071090048</v>
      </c>
      <c r="J27" s="15">
        <f t="shared" si="2"/>
        <v>11.163658767772512</v>
      </c>
      <c r="K27" s="15">
        <v>0.63293259999999996</v>
      </c>
      <c r="L27" s="15">
        <f t="shared" si="3"/>
        <v>123.29695136575367</v>
      </c>
    </row>
    <row r="28" spans="2:12" ht="19.5" x14ac:dyDescent="0.25">
      <c r="B28" s="14">
        <v>25</v>
      </c>
      <c r="C28" s="14" t="s">
        <v>20</v>
      </c>
      <c r="D28" s="14" t="s">
        <v>33</v>
      </c>
      <c r="E28" s="14">
        <v>677</v>
      </c>
      <c r="F28" s="15">
        <v>11.983625730994151</v>
      </c>
      <c r="G28" s="15">
        <f t="shared" si="0"/>
        <v>2.9959064327485376</v>
      </c>
      <c r="H28" s="15">
        <v>1.3171520999999999</v>
      </c>
      <c r="I28" s="15">
        <f t="shared" si="1"/>
        <v>43.965061311731411</v>
      </c>
      <c r="J28" s="15">
        <f t="shared" si="2"/>
        <v>10.991265327932853</v>
      </c>
      <c r="K28" s="15">
        <v>0.83520130000000004</v>
      </c>
      <c r="L28" s="15">
        <f t="shared" si="3"/>
        <v>57.704747346537879</v>
      </c>
    </row>
    <row r="29" spans="2:12" ht="19.5" x14ac:dyDescent="0.25">
      <c r="B29" s="14">
        <v>26</v>
      </c>
      <c r="C29" s="14" t="s">
        <v>20</v>
      </c>
      <c r="D29" s="14" t="s">
        <v>38</v>
      </c>
      <c r="E29" s="14">
        <v>965</v>
      </c>
      <c r="F29" s="15">
        <v>15.043274853801163</v>
      </c>
      <c r="G29" s="15">
        <f t="shared" si="0"/>
        <v>3.7608187134502908</v>
      </c>
      <c r="H29" s="15">
        <v>1.5734208000000001</v>
      </c>
      <c r="I29" s="15">
        <f t="shared" si="1"/>
        <v>41.837188120043557</v>
      </c>
      <c r="J29" s="15">
        <f t="shared" si="2"/>
        <v>10.459297030010889</v>
      </c>
      <c r="K29" s="15">
        <v>0.96199319999999999</v>
      </c>
      <c r="L29" s="15">
        <f t="shared" si="3"/>
        <v>63.558411847401842</v>
      </c>
    </row>
    <row r="30" spans="2:12" ht="19.5" x14ac:dyDescent="0.25">
      <c r="B30" s="14">
        <v>27</v>
      </c>
      <c r="C30" s="14" t="s">
        <v>10</v>
      </c>
      <c r="D30" s="14" t="s">
        <v>35</v>
      </c>
      <c r="E30" s="14">
        <v>987</v>
      </c>
      <c r="F30" s="15">
        <v>13.57</v>
      </c>
      <c r="G30" s="15">
        <f t="shared" si="0"/>
        <v>3.3925000000000001</v>
      </c>
      <c r="H30" s="15">
        <v>1.3128701999999999</v>
      </c>
      <c r="I30" s="15">
        <f t="shared" si="1"/>
        <v>38.699195283714069</v>
      </c>
      <c r="J30" s="15">
        <f t="shared" si="2"/>
        <v>9.6747988209285172</v>
      </c>
      <c r="K30" s="15">
        <v>1.2102158999999999</v>
      </c>
      <c r="L30" s="15">
        <f t="shared" si="3"/>
        <v>8.482312949284502</v>
      </c>
    </row>
    <row r="31" spans="2:12" ht="19.5" x14ac:dyDescent="0.25">
      <c r="B31" s="14">
        <v>28</v>
      </c>
      <c r="C31" s="14" t="s">
        <v>10</v>
      </c>
      <c r="D31" s="14" t="s">
        <v>37</v>
      </c>
      <c r="E31" s="14">
        <v>622</v>
      </c>
      <c r="F31" s="15">
        <v>9.56</v>
      </c>
      <c r="G31" s="15">
        <f t="shared" si="0"/>
        <v>2.39</v>
      </c>
      <c r="H31" s="15">
        <v>0.85736749999999995</v>
      </c>
      <c r="I31" s="15">
        <f t="shared" si="1"/>
        <v>35.873117154811709</v>
      </c>
      <c r="J31" s="15">
        <f t="shared" si="2"/>
        <v>8.9682792887029272</v>
      </c>
      <c r="K31" s="15">
        <v>0.53402369999999999</v>
      </c>
      <c r="L31" s="15">
        <f t="shared" si="3"/>
        <v>60.548586139529007</v>
      </c>
    </row>
    <row r="32" spans="2:12" ht="19.5" x14ac:dyDescent="0.25">
      <c r="B32" s="14">
        <v>29</v>
      </c>
      <c r="C32" s="14" t="s">
        <v>10</v>
      </c>
      <c r="D32" s="14" t="s">
        <v>39</v>
      </c>
      <c r="E32" s="14">
        <v>888</v>
      </c>
      <c r="F32" s="15">
        <v>12.61</v>
      </c>
      <c r="G32" s="15">
        <f t="shared" si="0"/>
        <v>3.1524999999999999</v>
      </c>
      <c r="H32" s="15">
        <v>1.0600269999999998</v>
      </c>
      <c r="I32" s="15">
        <f t="shared" si="1"/>
        <v>33.624964314036475</v>
      </c>
      <c r="J32" s="15">
        <f t="shared" si="2"/>
        <v>8.4062410785091188</v>
      </c>
      <c r="K32" s="15">
        <v>0.58622890000000005</v>
      </c>
      <c r="L32" s="15">
        <f t="shared" si="3"/>
        <v>80.821348111633483</v>
      </c>
    </row>
    <row r="33" spans="2:12" ht="27" customHeight="1" x14ac:dyDescent="0.25">
      <c r="B33" s="23" t="s">
        <v>40</v>
      </c>
      <c r="C33" s="23"/>
      <c r="D33" s="23"/>
      <c r="E33" s="1">
        <v>23865</v>
      </c>
      <c r="F33" s="6">
        <v>340</v>
      </c>
      <c r="G33" s="6">
        <f t="shared" ref="G33" si="4">F33/12*3</f>
        <v>85</v>
      </c>
      <c r="H33" s="6">
        <v>50.86</v>
      </c>
      <c r="I33" s="12">
        <f t="shared" ref="I33" si="5">H33/G33*100</f>
        <v>59.835294117647052</v>
      </c>
      <c r="J33" s="6">
        <f t="shared" ref="J33" si="6">H33/F33*100</f>
        <v>14.958823529411763</v>
      </c>
      <c r="K33" s="6">
        <f>SUM(K4:K32)</f>
        <v>34.149076200000003</v>
      </c>
      <c r="L33" s="6">
        <f t="shared" si="3"/>
        <v>48.935214827275459</v>
      </c>
    </row>
    <row r="34" spans="2:12" ht="18.75" x14ac:dyDescent="0.25">
      <c r="D34" s="7"/>
      <c r="E34" s="8"/>
      <c r="F34" s="8"/>
      <c r="G34" s="8"/>
      <c r="H34" s="11"/>
      <c r="I34" s="5"/>
      <c r="J34" s="8"/>
      <c r="K34" s="8"/>
      <c r="L34" s="8"/>
    </row>
    <row r="35" spans="2:12" ht="92.25" customHeight="1" x14ac:dyDescent="0.25">
      <c r="D35" s="1" t="s">
        <v>1</v>
      </c>
      <c r="E35" s="2" t="s">
        <v>3</v>
      </c>
      <c r="F35" s="2" t="s">
        <v>4</v>
      </c>
      <c r="G35" s="2" t="s">
        <v>45</v>
      </c>
      <c r="H35" s="2" t="s">
        <v>43</v>
      </c>
      <c r="I35" s="2" t="s">
        <v>5</v>
      </c>
      <c r="J35" s="2" t="s">
        <v>6</v>
      </c>
      <c r="K35" s="2" t="s">
        <v>44</v>
      </c>
      <c r="L35" s="2" t="s">
        <v>7</v>
      </c>
    </row>
    <row r="36" spans="2:12" ht="19.5" x14ac:dyDescent="0.25">
      <c r="D36" s="3" t="s">
        <v>8</v>
      </c>
      <c r="E36" s="14">
        <v>6787</v>
      </c>
      <c r="F36" s="17">
        <v>99</v>
      </c>
      <c r="G36" s="17">
        <f>F36/12*3</f>
        <v>24.75</v>
      </c>
      <c r="H36" s="17">
        <v>17.28</v>
      </c>
      <c r="I36" s="17">
        <f>H36/G36*100</f>
        <v>69.818181818181827</v>
      </c>
      <c r="J36" s="17">
        <f>H36/F36*100</f>
        <v>17.454545454545457</v>
      </c>
      <c r="K36" s="17">
        <v>12.8572504</v>
      </c>
      <c r="L36" s="17">
        <f>(H36-K36)/K36*100</f>
        <v>34.398875828069755</v>
      </c>
    </row>
    <row r="37" spans="2:12" ht="19.5" x14ac:dyDescent="0.25">
      <c r="D37" s="3" t="s">
        <v>10</v>
      </c>
      <c r="E37" s="14">
        <v>9996</v>
      </c>
      <c r="F37" s="17">
        <v>132</v>
      </c>
      <c r="G37" s="17">
        <f>F37/12*3</f>
        <v>33</v>
      </c>
      <c r="H37" s="17">
        <v>19.600000000000001</v>
      </c>
      <c r="I37" s="17">
        <f>H37/G37*100</f>
        <v>59.393939393939398</v>
      </c>
      <c r="J37" s="17">
        <f>H37/F37*100</f>
        <v>14.84848484848485</v>
      </c>
      <c r="K37" s="17">
        <v>12.666709900000001</v>
      </c>
      <c r="L37" s="17">
        <f>(H37-K37)/K37*100</f>
        <v>54.736313965791553</v>
      </c>
    </row>
    <row r="38" spans="2:12" ht="19.5" x14ac:dyDescent="0.25">
      <c r="D38" s="3" t="s">
        <v>20</v>
      </c>
      <c r="E38" s="14">
        <v>7082</v>
      </c>
      <c r="F38" s="17">
        <v>108.99999999999999</v>
      </c>
      <c r="G38" s="17">
        <f>F38/12*3</f>
        <v>27.249999999999996</v>
      </c>
      <c r="H38" s="17">
        <v>13.969999999999999</v>
      </c>
      <c r="I38" s="17">
        <f>H38/G38*100</f>
        <v>51.26605504587156</v>
      </c>
      <c r="J38" s="17">
        <f>H38/F38*100</f>
        <v>12.81651376146789</v>
      </c>
      <c r="K38" s="17">
        <v>8.6251159000000008</v>
      </c>
      <c r="L38" s="17">
        <f>(H38-K38)/K38*100</f>
        <v>61.968838007150694</v>
      </c>
    </row>
    <row r="39" spans="2:12" ht="30" customHeight="1" x14ac:dyDescent="0.25">
      <c r="D39" s="1" t="s">
        <v>41</v>
      </c>
      <c r="E39" s="18">
        <v>23865</v>
      </c>
      <c r="F39" s="19">
        <f>SUM(F36:F38)</f>
        <v>340</v>
      </c>
      <c r="G39" s="19">
        <f>F39/12*3</f>
        <v>85</v>
      </c>
      <c r="H39" s="19">
        <v>50.86</v>
      </c>
      <c r="I39" s="20">
        <f t="shared" ref="I39" si="7">H39/G39*100</f>
        <v>59.835294117647052</v>
      </c>
      <c r="J39" s="21">
        <f t="shared" ref="J39" si="8">H39/F39*100</f>
        <v>14.958823529411763</v>
      </c>
      <c r="K39" s="21">
        <f>SUM(K36:K38)</f>
        <v>34.149076199999996</v>
      </c>
      <c r="L39" s="21">
        <f t="shared" ref="L39" si="9">(H39-K39)/K39*100</f>
        <v>48.935214827275495</v>
      </c>
    </row>
  </sheetData>
  <mergeCells count="2">
    <mergeCell ref="B2:L2"/>
    <mergeCell ref="B33:D33"/>
  </mergeCells>
  <conditionalFormatting sqref="I4:I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6:I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53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6D751-3436-45F3-B9EA-D24D87BECD96}">
  <dimension ref="B2:L39"/>
  <sheetViews>
    <sheetView topLeftCell="B23" workbookViewId="0">
      <selection activeCell="G33" sqref="G33"/>
    </sheetView>
  </sheetViews>
  <sheetFormatPr defaultRowHeight="15" x14ac:dyDescent="0.25"/>
  <cols>
    <col min="2" max="2" width="7.28515625" bestFit="1" customWidth="1"/>
    <col min="3" max="3" width="25.42578125" customWidth="1"/>
    <col min="4" max="5" width="26" customWidth="1"/>
    <col min="6" max="6" width="18.140625" customWidth="1"/>
    <col min="7" max="7" width="18.85546875" customWidth="1"/>
    <col min="8" max="8" width="18" bestFit="1" customWidth="1"/>
    <col min="9" max="9" width="22.85546875" customWidth="1"/>
    <col min="10" max="10" width="19.7109375" customWidth="1"/>
    <col min="11" max="11" width="18.85546875" customWidth="1"/>
    <col min="12" max="12" width="19" customWidth="1"/>
  </cols>
  <sheetData>
    <row r="2" spans="2:12" ht="31.5" x14ac:dyDescent="0.25">
      <c r="B2" s="22" t="s">
        <v>42</v>
      </c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2:12" ht="101.25" customHeight="1" x14ac:dyDescent="0.25">
      <c r="B3" s="1" t="s">
        <v>0</v>
      </c>
      <c r="C3" s="1" t="s">
        <v>1</v>
      </c>
      <c r="D3" s="1" t="s">
        <v>2</v>
      </c>
      <c r="E3" s="2" t="s">
        <v>3</v>
      </c>
      <c r="F3" s="2" t="s">
        <v>4</v>
      </c>
      <c r="G3" s="2" t="s">
        <v>45</v>
      </c>
      <c r="H3" s="2" t="s">
        <v>43</v>
      </c>
      <c r="I3" s="2" t="s">
        <v>5</v>
      </c>
      <c r="J3" s="2" t="s">
        <v>6</v>
      </c>
      <c r="K3" s="2" t="s">
        <v>44</v>
      </c>
      <c r="L3" s="2" t="s">
        <v>7</v>
      </c>
    </row>
    <row r="4" spans="2:12" ht="18.75" x14ac:dyDescent="0.25">
      <c r="B4" s="3">
        <v>1</v>
      </c>
      <c r="C4" s="3" t="s">
        <v>20</v>
      </c>
      <c r="D4" s="3" t="s">
        <v>29</v>
      </c>
      <c r="E4" s="3">
        <v>1072</v>
      </c>
      <c r="F4" s="5">
        <v>15.043274853801167</v>
      </c>
      <c r="G4" s="5">
        <f>F4/12*3</f>
        <v>3.7608187134502913</v>
      </c>
      <c r="H4" s="5">
        <v>1.8594503000000002</v>
      </c>
      <c r="I4" s="5">
        <f>H4/G4*100</f>
        <v>49.442699626807673</v>
      </c>
      <c r="J4" s="5">
        <f>H4/F4*100</f>
        <v>12.360674906701915</v>
      </c>
      <c r="K4" s="5">
        <v>1.1381798999999999</v>
      </c>
      <c r="L4" s="5">
        <f>(H4-K4)/K4*100</f>
        <v>63.3705093544527</v>
      </c>
    </row>
    <row r="5" spans="2:12" ht="18.75" x14ac:dyDescent="0.25">
      <c r="B5" s="3">
        <v>2</v>
      </c>
      <c r="C5" s="3" t="s">
        <v>20</v>
      </c>
      <c r="D5" s="3" t="s">
        <v>31</v>
      </c>
      <c r="E5" s="3">
        <v>758</v>
      </c>
      <c r="F5" s="5">
        <v>13.545321637426898</v>
      </c>
      <c r="G5" s="5">
        <f t="shared" ref="G5:G33" si="0">F5/12*3</f>
        <v>3.3863304093567246</v>
      </c>
      <c r="H5" s="5">
        <v>1.6196312000000002</v>
      </c>
      <c r="I5" s="5">
        <f t="shared" ref="I5:I33" si="1">H5/G5*100</f>
        <v>47.828504729627639</v>
      </c>
      <c r="J5" s="5">
        <f t="shared" ref="J5:J33" si="2">H5/F5*100</f>
        <v>11.95712618240691</v>
      </c>
      <c r="K5" s="5">
        <v>1.1115737999999999</v>
      </c>
      <c r="L5" s="5">
        <f t="shared" ref="L5:L32" si="3">(H5-K5)/K5*100</f>
        <v>45.706133052074478</v>
      </c>
    </row>
    <row r="6" spans="2:12" ht="18.75" x14ac:dyDescent="0.25">
      <c r="B6" s="3">
        <v>3</v>
      </c>
      <c r="C6" s="3" t="s">
        <v>20</v>
      </c>
      <c r="D6" s="3" t="s">
        <v>23</v>
      </c>
      <c r="E6" s="3">
        <v>804</v>
      </c>
      <c r="F6" s="5">
        <v>14.278362573099411</v>
      </c>
      <c r="G6" s="5">
        <f t="shared" si="0"/>
        <v>3.5695906432748528</v>
      </c>
      <c r="H6" s="5">
        <v>2.1333970999999998</v>
      </c>
      <c r="I6" s="5">
        <f t="shared" si="1"/>
        <v>59.765875507863711</v>
      </c>
      <c r="J6" s="5">
        <f t="shared" si="2"/>
        <v>14.941468876965928</v>
      </c>
      <c r="K6" s="5">
        <v>1.3875453</v>
      </c>
      <c r="L6" s="5">
        <f t="shared" si="3"/>
        <v>53.753329711109245</v>
      </c>
    </row>
    <row r="7" spans="2:12" ht="18.75" x14ac:dyDescent="0.25">
      <c r="B7" s="3">
        <v>4</v>
      </c>
      <c r="C7" s="3" t="s">
        <v>20</v>
      </c>
      <c r="D7" s="3" t="s">
        <v>38</v>
      </c>
      <c r="E7" s="3">
        <v>965</v>
      </c>
      <c r="F7" s="5">
        <v>15.043274853801163</v>
      </c>
      <c r="G7" s="5">
        <f t="shared" si="0"/>
        <v>3.7608187134502908</v>
      </c>
      <c r="H7" s="5">
        <v>1.5734208000000001</v>
      </c>
      <c r="I7" s="5">
        <f t="shared" si="1"/>
        <v>41.837188120043557</v>
      </c>
      <c r="J7" s="5">
        <f t="shared" si="2"/>
        <v>10.459297030010889</v>
      </c>
      <c r="K7" s="5">
        <v>0.96199319999999999</v>
      </c>
      <c r="L7" s="5">
        <f t="shared" si="3"/>
        <v>63.558411847401842</v>
      </c>
    </row>
    <row r="8" spans="2:12" ht="18.75" x14ac:dyDescent="0.25">
      <c r="B8" s="3">
        <v>5</v>
      </c>
      <c r="C8" s="3" t="s">
        <v>20</v>
      </c>
      <c r="D8" s="3" t="s">
        <v>32</v>
      </c>
      <c r="E8" s="3">
        <v>944</v>
      </c>
      <c r="F8" s="5">
        <v>13.832163742690053</v>
      </c>
      <c r="G8" s="5">
        <f t="shared" si="0"/>
        <v>3.4580409356725132</v>
      </c>
      <c r="H8" s="5">
        <v>1.5982890000000003</v>
      </c>
      <c r="I8" s="5">
        <f t="shared" si="1"/>
        <v>46.219493341225245</v>
      </c>
      <c r="J8" s="5">
        <f t="shared" si="2"/>
        <v>11.554873335306311</v>
      </c>
      <c r="K8" s="5">
        <v>0.84146860000000001</v>
      </c>
      <c r="L8" s="5">
        <f t="shared" si="3"/>
        <v>89.940420830913979</v>
      </c>
    </row>
    <row r="9" spans="2:12" ht="18.75" x14ac:dyDescent="0.25">
      <c r="B9" s="3">
        <v>6</v>
      </c>
      <c r="C9" s="3" t="s">
        <v>20</v>
      </c>
      <c r="D9" s="3" t="s">
        <v>36</v>
      </c>
      <c r="E9" s="3">
        <v>743</v>
      </c>
      <c r="F9" s="5">
        <v>10.549415204678361</v>
      </c>
      <c r="G9" s="5">
        <f t="shared" si="0"/>
        <v>2.6373538011695903</v>
      </c>
      <c r="H9" s="5">
        <v>1.4138478000000001</v>
      </c>
      <c r="I9" s="5">
        <f t="shared" si="1"/>
        <v>53.608575359627494</v>
      </c>
      <c r="J9" s="5">
        <f t="shared" si="2"/>
        <v>13.402143839906874</v>
      </c>
      <c r="K9" s="5">
        <v>0.76536329999999997</v>
      </c>
      <c r="L9" s="5">
        <f t="shared" si="3"/>
        <v>84.728977728615959</v>
      </c>
    </row>
    <row r="10" spans="2:12" ht="18.75" x14ac:dyDescent="0.25">
      <c r="B10" s="3">
        <v>7</v>
      </c>
      <c r="C10" s="3" t="s">
        <v>20</v>
      </c>
      <c r="D10" s="3" t="s">
        <v>33</v>
      </c>
      <c r="E10" s="3">
        <v>677</v>
      </c>
      <c r="F10" s="5">
        <v>11.983625730994151</v>
      </c>
      <c r="G10" s="5">
        <f t="shared" si="0"/>
        <v>2.9959064327485376</v>
      </c>
      <c r="H10" s="5">
        <v>1.3171520999999999</v>
      </c>
      <c r="I10" s="5">
        <f t="shared" si="1"/>
        <v>43.965061311731411</v>
      </c>
      <c r="J10" s="5">
        <f t="shared" si="2"/>
        <v>10.991265327932853</v>
      </c>
      <c r="K10" s="5">
        <v>0.83520130000000004</v>
      </c>
      <c r="L10" s="5">
        <f t="shared" si="3"/>
        <v>57.704747346537879</v>
      </c>
    </row>
    <row r="11" spans="2:12" ht="18.75" x14ac:dyDescent="0.25">
      <c r="B11" s="3">
        <v>8</v>
      </c>
      <c r="C11" s="3" t="s">
        <v>20</v>
      </c>
      <c r="D11" s="3" t="s">
        <v>21</v>
      </c>
      <c r="E11" s="3">
        <v>1119</v>
      </c>
      <c r="F11" s="5">
        <v>14.724561403508767</v>
      </c>
      <c r="G11" s="5">
        <f t="shared" si="0"/>
        <v>3.6811403508771918</v>
      </c>
      <c r="H11" s="5">
        <v>2.4624636999999998</v>
      </c>
      <c r="I11" s="5">
        <f t="shared" si="1"/>
        <v>66.894045466460156</v>
      </c>
      <c r="J11" s="5">
        <f t="shared" si="2"/>
        <v>16.723511366615039</v>
      </c>
      <c r="K11" s="5">
        <v>1.5837905000000001</v>
      </c>
      <c r="L11" s="5">
        <f t="shared" si="3"/>
        <v>55.479130604710633</v>
      </c>
    </row>
    <row r="12" spans="2:12" ht="18.75" x14ac:dyDescent="0.25">
      <c r="B12" s="3">
        <v>9</v>
      </c>
      <c r="C12" s="3" t="s">
        <v>10</v>
      </c>
      <c r="D12" s="3" t="s">
        <v>11</v>
      </c>
      <c r="E12" s="3">
        <v>884</v>
      </c>
      <c r="F12" s="5">
        <v>10.45</v>
      </c>
      <c r="G12" s="5">
        <f t="shared" si="0"/>
        <v>2.6124999999999998</v>
      </c>
      <c r="H12" s="5">
        <v>2.1109353</v>
      </c>
      <c r="I12" s="5">
        <f t="shared" si="1"/>
        <v>80.801351196172249</v>
      </c>
      <c r="J12" s="5">
        <f t="shared" si="2"/>
        <v>20.200337799043062</v>
      </c>
      <c r="K12" s="5">
        <v>1.3601525000000001</v>
      </c>
      <c r="L12" s="5">
        <f t="shared" si="3"/>
        <v>55.198428117435348</v>
      </c>
    </row>
    <row r="13" spans="2:12" ht="18.75" x14ac:dyDescent="0.25">
      <c r="B13" s="3">
        <v>10</v>
      </c>
      <c r="C13" s="3" t="s">
        <v>10</v>
      </c>
      <c r="D13" s="3" t="s">
        <v>26</v>
      </c>
      <c r="E13" s="3">
        <v>709</v>
      </c>
      <c r="F13" s="5">
        <v>8.4499999999999993</v>
      </c>
      <c r="G13" s="5">
        <f t="shared" si="0"/>
        <v>2.1124999999999998</v>
      </c>
      <c r="H13" s="5">
        <v>1.228348</v>
      </c>
      <c r="I13" s="5">
        <f t="shared" si="1"/>
        <v>58.146650887573969</v>
      </c>
      <c r="J13" s="5">
        <f t="shared" si="2"/>
        <v>14.536662721893492</v>
      </c>
      <c r="K13" s="5">
        <v>1.0755222</v>
      </c>
      <c r="L13" s="5">
        <f t="shared" si="3"/>
        <v>14.209450999709725</v>
      </c>
    </row>
    <row r="14" spans="2:12" ht="18.75" x14ac:dyDescent="0.25">
      <c r="B14" s="3">
        <v>11</v>
      </c>
      <c r="C14" s="3" t="s">
        <v>10</v>
      </c>
      <c r="D14" s="3" t="s">
        <v>30</v>
      </c>
      <c r="E14" s="3">
        <v>572</v>
      </c>
      <c r="F14" s="5">
        <v>7.38</v>
      </c>
      <c r="G14" s="5">
        <f t="shared" si="0"/>
        <v>1.845</v>
      </c>
      <c r="H14" s="5">
        <v>0.95416900000000004</v>
      </c>
      <c r="I14" s="5">
        <f t="shared" si="1"/>
        <v>51.716476964769655</v>
      </c>
      <c r="J14" s="5">
        <f t="shared" si="2"/>
        <v>12.929119241192414</v>
      </c>
      <c r="K14" s="5">
        <v>0.61618399999999995</v>
      </c>
      <c r="L14" s="5">
        <f t="shared" si="3"/>
        <v>54.851310647468956</v>
      </c>
    </row>
    <row r="15" spans="2:12" ht="18.75" x14ac:dyDescent="0.25">
      <c r="B15" s="3">
        <v>12</v>
      </c>
      <c r="C15" s="3" t="s">
        <v>10</v>
      </c>
      <c r="D15" s="3" t="s">
        <v>37</v>
      </c>
      <c r="E15" s="3">
        <v>622</v>
      </c>
      <c r="F15" s="5">
        <v>9.56</v>
      </c>
      <c r="G15" s="5">
        <f t="shared" si="0"/>
        <v>2.39</v>
      </c>
      <c r="H15" s="5">
        <v>0.85736749999999995</v>
      </c>
      <c r="I15" s="5">
        <f t="shared" si="1"/>
        <v>35.873117154811709</v>
      </c>
      <c r="J15" s="5">
        <f t="shared" si="2"/>
        <v>8.9682792887029272</v>
      </c>
      <c r="K15" s="5">
        <v>0.53402369999999999</v>
      </c>
      <c r="L15" s="5">
        <f t="shared" si="3"/>
        <v>60.548586139529007</v>
      </c>
    </row>
    <row r="16" spans="2:12" ht="18.75" x14ac:dyDescent="0.25">
      <c r="B16" s="3">
        <v>13</v>
      </c>
      <c r="C16" s="3" t="s">
        <v>10</v>
      </c>
      <c r="D16" s="3" t="s">
        <v>14</v>
      </c>
      <c r="E16" s="3">
        <v>575</v>
      </c>
      <c r="F16" s="5">
        <v>7.46</v>
      </c>
      <c r="G16" s="5">
        <f t="shared" si="0"/>
        <v>1.8650000000000002</v>
      </c>
      <c r="H16" s="5">
        <v>1.4894265999999998</v>
      </c>
      <c r="I16" s="5">
        <f t="shared" si="1"/>
        <v>79.86201608579087</v>
      </c>
      <c r="J16" s="5">
        <f t="shared" si="2"/>
        <v>19.965504021447718</v>
      </c>
      <c r="K16" s="5">
        <v>0.97323910000000002</v>
      </c>
      <c r="L16" s="5">
        <f t="shared" si="3"/>
        <v>53.038097215781796</v>
      </c>
    </row>
    <row r="17" spans="2:12" ht="18.75" x14ac:dyDescent="0.25">
      <c r="B17" s="3">
        <v>14</v>
      </c>
      <c r="C17" s="3" t="s">
        <v>10</v>
      </c>
      <c r="D17" s="3" t="s">
        <v>27</v>
      </c>
      <c r="E17" s="3">
        <v>557</v>
      </c>
      <c r="F17" s="5">
        <v>6.83</v>
      </c>
      <c r="G17" s="5">
        <f t="shared" si="0"/>
        <v>1.7075</v>
      </c>
      <c r="H17" s="5">
        <v>1.4996241000000001</v>
      </c>
      <c r="I17" s="5">
        <f t="shared" si="1"/>
        <v>87.825715959004398</v>
      </c>
      <c r="J17" s="5">
        <f t="shared" si="2"/>
        <v>21.9564289897511</v>
      </c>
      <c r="K17" s="5">
        <v>0.925265</v>
      </c>
      <c r="L17" s="5">
        <f t="shared" si="3"/>
        <v>62.075092000670097</v>
      </c>
    </row>
    <row r="18" spans="2:12" ht="18.75" x14ac:dyDescent="0.25">
      <c r="B18" s="3">
        <v>15</v>
      </c>
      <c r="C18" s="3" t="s">
        <v>10</v>
      </c>
      <c r="D18" s="3" t="s">
        <v>39</v>
      </c>
      <c r="E18" s="3">
        <v>888</v>
      </c>
      <c r="F18" s="5">
        <v>12.61</v>
      </c>
      <c r="G18" s="5">
        <f t="shared" si="0"/>
        <v>3.1524999999999999</v>
      </c>
      <c r="H18" s="5">
        <v>1.0600269999999998</v>
      </c>
      <c r="I18" s="5">
        <f t="shared" si="1"/>
        <v>33.624964314036475</v>
      </c>
      <c r="J18" s="5">
        <f t="shared" si="2"/>
        <v>8.4062410785091188</v>
      </c>
      <c r="K18" s="5">
        <v>0.58622890000000005</v>
      </c>
      <c r="L18" s="5">
        <f t="shared" si="3"/>
        <v>80.821348111633483</v>
      </c>
    </row>
    <row r="19" spans="2:12" ht="18.75" x14ac:dyDescent="0.25">
      <c r="B19" s="3">
        <v>16</v>
      </c>
      <c r="C19" s="3" t="s">
        <v>10</v>
      </c>
      <c r="D19" s="3" t="s">
        <v>28</v>
      </c>
      <c r="E19" s="3">
        <v>948</v>
      </c>
      <c r="F19" s="5">
        <v>12.66</v>
      </c>
      <c r="G19" s="5">
        <f t="shared" si="0"/>
        <v>3.165</v>
      </c>
      <c r="H19" s="5">
        <v>1.4133192000000001</v>
      </c>
      <c r="I19" s="5">
        <f t="shared" si="1"/>
        <v>44.654635071090048</v>
      </c>
      <c r="J19" s="5">
        <f t="shared" si="2"/>
        <v>11.163658767772512</v>
      </c>
      <c r="K19" s="5">
        <v>0.63293259999999996</v>
      </c>
      <c r="L19" s="5">
        <f t="shared" si="3"/>
        <v>123.29695136575367</v>
      </c>
    </row>
    <row r="20" spans="2:12" ht="18.75" x14ac:dyDescent="0.25">
      <c r="B20" s="3">
        <v>17</v>
      </c>
      <c r="C20" s="3" t="s">
        <v>10</v>
      </c>
      <c r="D20" s="3" t="s">
        <v>34</v>
      </c>
      <c r="E20" s="3">
        <v>996</v>
      </c>
      <c r="F20" s="5">
        <v>13.25</v>
      </c>
      <c r="G20" s="5">
        <f t="shared" si="0"/>
        <v>3.3125</v>
      </c>
      <c r="H20" s="5">
        <v>1.6983476</v>
      </c>
      <c r="I20" s="5">
        <f t="shared" si="1"/>
        <v>51.270870943396233</v>
      </c>
      <c r="J20" s="5">
        <f t="shared" si="2"/>
        <v>12.817717735849058</v>
      </c>
      <c r="K20" s="5">
        <v>0.99398770000000003</v>
      </c>
      <c r="L20" s="5">
        <f t="shared" si="3"/>
        <v>70.862033805850913</v>
      </c>
    </row>
    <row r="21" spans="2:12" ht="18.75" x14ac:dyDescent="0.25">
      <c r="B21" s="3">
        <v>18</v>
      </c>
      <c r="C21" s="3" t="s">
        <v>10</v>
      </c>
      <c r="D21" s="3" t="s">
        <v>35</v>
      </c>
      <c r="E21" s="3">
        <v>987</v>
      </c>
      <c r="F21" s="5">
        <v>13.57</v>
      </c>
      <c r="G21" s="5">
        <f t="shared" si="0"/>
        <v>3.3925000000000001</v>
      </c>
      <c r="H21" s="5">
        <v>1.3128701999999999</v>
      </c>
      <c r="I21" s="5">
        <f t="shared" si="1"/>
        <v>38.699195283714069</v>
      </c>
      <c r="J21" s="5">
        <f t="shared" si="2"/>
        <v>9.6747988209285172</v>
      </c>
      <c r="K21" s="5">
        <v>1.2102158999999999</v>
      </c>
      <c r="L21" s="5">
        <f t="shared" si="3"/>
        <v>8.482312949284502</v>
      </c>
    </row>
    <row r="22" spans="2:12" ht="18.75" x14ac:dyDescent="0.25">
      <c r="B22" s="3">
        <v>19</v>
      </c>
      <c r="C22" s="3" t="s">
        <v>10</v>
      </c>
      <c r="D22" s="3" t="s">
        <v>17</v>
      </c>
      <c r="E22" s="3">
        <v>528</v>
      </c>
      <c r="F22" s="5">
        <v>6.97</v>
      </c>
      <c r="G22" s="5">
        <f t="shared" si="0"/>
        <v>1.7424999999999999</v>
      </c>
      <c r="H22" s="5">
        <v>1.4304203000000002</v>
      </c>
      <c r="I22" s="5">
        <f t="shared" si="1"/>
        <v>82.090117647058833</v>
      </c>
      <c r="J22" s="5">
        <f t="shared" si="2"/>
        <v>20.522529411764708</v>
      </c>
      <c r="K22" s="5">
        <v>0.7173834</v>
      </c>
      <c r="L22" s="5">
        <f t="shared" si="3"/>
        <v>99.394117566701453</v>
      </c>
    </row>
    <row r="23" spans="2:12" ht="18.75" x14ac:dyDescent="0.25">
      <c r="B23" s="3">
        <v>20</v>
      </c>
      <c r="C23" s="3" t="s">
        <v>10</v>
      </c>
      <c r="D23" s="3" t="s">
        <v>19</v>
      </c>
      <c r="E23" s="3">
        <v>725</v>
      </c>
      <c r="F23" s="5">
        <v>9.14</v>
      </c>
      <c r="G23" s="5">
        <f t="shared" si="0"/>
        <v>2.2850000000000001</v>
      </c>
      <c r="H23" s="5">
        <v>1.4991082</v>
      </c>
      <c r="I23" s="5">
        <f t="shared" si="1"/>
        <v>65.606485776805243</v>
      </c>
      <c r="J23" s="5">
        <f t="shared" si="2"/>
        <v>16.401621444201311</v>
      </c>
      <c r="K23" s="5">
        <v>1.0121058000000001</v>
      </c>
      <c r="L23" s="5">
        <f t="shared" si="3"/>
        <v>48.117736307804968</v>
      </c>
    </row>
    <row r="24" spans="2:12" ht="18.75" x14ac:dyDescent="0.25">
      <c r="B24" s="3">
        <v>21</v>
      </c>
      <c r="C24" s="3" t="s">
        <v>10</v>
      </c>
      <c r="D24" s="3" t="s">
        <v>12</v>
      </c>
      <c r="E24" s="3">
        <v>1005</v>
      </c>
      <c r="F24" s="5">
        <v>13.67</v>
      </c>
      <c r="G24" s="5">
        <f t="shared" si="0"/>
        <v>3.4175</v>
      </c>
      <c r="H24" s="5">
        <v>3.0402448</v>
      </c>
      <c r="I24" s="5">
        <f t="shared" si="1"/>
        <v>88.96107681053401</v>
      </c>
      <c r="J24" s="5">
        <f t="shared" si="2"/>
        <v>22.240269202633502</v>
      </c>
      <c r="K24" s="5">
        <v>2.0294691</v>
      </c>
      <c r="L24" s="5">
        <f t="shared" si="3"/>
        <v>49.804931742986376</v>
      </c>
    </row>
    <row r="25" spans="2:12" ht="18.75" x14ac:dyDescent="0.25">
      <c r="B25" s="3">
        <v>22</v>
      </c>
      <c r="C25" s="3" t="s">
        <v>8</v>
      </c>
      <c r="D25" s="4" t="s">
        <v>25</v>
      </c>
      <c r="E25" s="4">
        <v>589</v>
      </c>
      <c r="F25" s="5">
        <v>6</v>
      </c>
      <c r="G25" s="5">
        <f t="shared" si="0"/>
        <v>1.5</v>
      </c>
      <c r="H25" s="5">
        <v>0.95668520000000001</v>
      </c>
      <c r="I25" s="5">
        <f t="shared" si="1"/>
        <v>63.779013333333332</v>
      </c>
      <c r="J25" s="5">
        <f t="shared" si="2"/>
        <v>15.944753333333333</v>
      </c>
      <c r="K25" s="5">
        <v>0.7551542</v>
      </c>
      <c r="L25" s="5">
        <f t="shared" si="3"/>
        <v>26.687397090554487</v>
      </c>
    </row>
    <row r="26" spans="2:12" ht="18.75" x14ac:dyDescent="0.25">
      <c r="B26" s="3">
        <v>23</v>
      </c>
      <c r="C26" s="3" t="s">
        <v>8</v>
      </c>
      <c r="D26" s="4" t="s">
        <v>18</v>
      </c>
      <c r="E26" s="4">
        <v>1054</v>
      </c>
      <c r="F26" s="5">
        <v>10</v>
      </c>
      <c r="G26" s="5">
        <f t="shared" si="0"/>
        <v>2.5</v>
      </c>
      <c r="H26" s="5">
        <v>1.9784081</v>
      </c>
      <c r="I26" s="5">
        <f t="shared" si="1"/>
        <v>79.136324000000002</v>
      </c>
      <c r="J26" s="5">
        <f t="shared" si="2"/>
        <v>19.784081</v>
      </c>
      <c r="K26" s="5">
        <v>1.1882239999999999</v>
      </c>
      <c r="L26" s="5">
        <f t="shared" si="3"/>
        <v>66.501274170526784</v>
      </c>
    </row>
    <row r="27" spans="2:12" ht="18.75" x14ac:dyDescent="0.25">
      <c r="B27" s="3">
        <v>24</v>
      </c>
      <c r="C27" s="3" t="s">
        <v>8</v>
      </c>
      <c r="D27" s="4" t="s">
        <v>15</v>
      </c>
      <c r="E27" s="4">
        <v>724</v>
      </c>
      <c r="F27" s="5">
        <v>9</v>
      </c>
      <c r="G27" s="5">
        <f t="shared" si="0"/>
        <v>2.25</v>
      </c>
      <c r="H27" s="5">
        <v>1.4652042999999999</v>
      </c>
      <c r="I27" s="5">
        <f t="shared" si="1"/>
        <v>65.120191111111097</v>
      </c>
      <c r="J27" s="5">
        <f t="shared" si="2"/>
        <v>16.280047777777774</v>
      </c>
      <c r="K27" s="5">
        <v>1.1039132</v>
      </c>
      <c r="L27" s="5">
        <f t="shared" si="3"/>
        <v>32.728216312659356</v>
      </c>
    </row>
    <row r="28" spans="2:12" ht="18.75" x14ac:dyDescent="0.25">
      <c r="B28" s="3">
        <v>25</v>
      </c>
      <c r="C28" s="3" t="s">
        <v>8</v>
      </c>
      <c r="D28" s="4" t="s">
        <v>24</v>
      </c>
      <c r="E28" s="4">
        <v>759</v>
      </c>
      <c r="F28" s="5">
        <v>10</v>
      </c>
      <c r="G28" s="5">
        <f t="shared" si="0"/>
        <v>2.5</v>
      </c>
      <c r="H28" s="5">
        <v>1.5240443000000001</v>
      </c>
      <c r="I28" s="5">
        <f t="shared" si="1"/>
        <v>60.961772000000003</v>
      </c>
      <c r="J28" s="5">
        <f t="shared" si="2"/>
        <v>15.240443000000001</v>
      </c>
      <c r="K28" s="5">
        <v>1.2584698000000001</v>
      </c>
      <c r="L28" s="5">
        <f t="shared" si="3"/>
        <v>21.10296965409897</v>
      </c>
    </row>
    <row r="29" spans="2:12" ht="18.75" x14ac:dyDescent="0.25">
      <c r="B29" s="3">
        <v>26</v>
      </c>
      <c r="C29" s="3" t="s">
        <v>8</v>
      </c>
      <c r="D29" s="4" t="s">
        <v>16</v>
      </c>
      <c r="E29" s="4">
        <v>887</v>
      </c>
      <c r="F29" s="5">
        <v>9</v>
      </c>
      <c r="G29" s="5">
        <f t="shared" si="0"/>
        <v>2.25</v>
      </c>
      <c r="H29" s="5">
        <v>1.7582163999999998</v>
      </c>
      <c r="I29" s="5">
        <f t="shared" si="1"/>
        <v>78.142951111111103</v>
      </c>
      <c r="J29" s="5">
        <f t="shared" si="2"/>
        <v>19.535737777777776</v>
      </c>
      <c r="K29" s="5">
        <v>1.1182544000000001</v>
      </c>
      <c r="L29" s="5">
        <f t="shared" si="3"/>
        <v>57.228659238899446</v>
      </c>
    </row>
    <row r="30" spans="2:12" ht="18.75" x14ac:dyDescent="0.25">
      <c r="B30" s="3">
        <v>27</v>
      </c>
      <c r="C30" s="3" t="s">
        <v>8</v>
      </c>
      <c r="D30" s="4" t="s">
        <v>9</v>
      </c>
      <c r="E30" s="4">
        <v>1181</v>
      </c>
      <c r="F30" s="5">
        <v>16</v>
      </c>
      <c r="G30" s="5">
        <f t="shared" si="0"/>
        <v>4</v>
      </c>
      <c r="H30" s="5">
        <v>2.9526263999999998</v>
      </c>
      <c r="I30" s="5">
        <f t="shared" si="1"/>
        <v>73.815659999999994</v>
      </c>
      <c r="J30" s="5">
        <f t="shared" si="2"/>
        <v>18.453914999999999</v>
      </c>
      <c r="K30" s="5">
        <v>2.5006018000000001</v>
      </c>
      <c r="L30" s="5">
        <f t="shared" si="3"/>
        <v>18.076632593002198</v>
      </c>
    </row>
    <row r="31" spans="2:12" ht="18.75" x14ac:dyDescent="0.25">
      <c r="B31" s="3">
        <v>28</v>
      </c>
      <c r="C31" s="3" t="s">
        <v>8</v>
      </c>
      <c r="D31" s="4" t="s">
        <v>13</v>
      </c>
      <c r="E31" s="4">
        <v>858</v>
      </c>
      <c r="F31" s="5">
        <v>27</v>
      </c>
      <c r="G31" s="5">
        <f t="shared" si="0"/>
        <v>6.75</v>
      </c>
      <c r="H31" s="5">
        <v>4.7536491999999999</v>
      </c>
      <c r="I31" s="5">
        <f t="shared" si="1"/>
        <v>70.424432592592595</v>
      </c>
      <c r="J31" s="5">
        <f t="shared" si="2"/>
        <v>17.606108148148149</v>
      </c>
      <c r="K31" s="5">
        <v>3.2939240000000001</v>
      </c>
      <c r="L31" s="5">
        <f t="shared" si="3"/>
        <v>44.315691558153738</v>
      </c>
    </row>
    <row r="32" spans="2:12" ht="18.75" x14ac:dyDescent="0.25">
      <c r="B32" s="3">
        <v>29</v>
      </c>
      <c r="C32" s="3" t="s">
        <v>8</v>
      </c>
      <c r="D32" s="4" t="s">
        <v>22</v>
      </c>
      <c r="E32" s="4">
        <v>735</v>
      </c>
      <c r="F32" s="5">
        <v>12</v>
      </c>
      <c r="G32" s="5">
        <f t="shared" si="0"/>
        <v>3</v>
      </c>
      <c r="H32" s="5">
        <v>1.8917548000000002</v>
      </c>
      <c r="I32" s="5">
        <f t="shared" si="1"/>
        <v>63.058493333333345</v>
      </c>
      <c r="J32" s="5">
        <f t="shared" si="2"/>
        <v>15.764623333333336</v>
      </c>
      <c r="K32" s="5">
        <v>1.638709</v>
      </c>
      <c r="L32" s="5">
        <f t="shared" si="3"/>
        <v>15.44177764325455</v>
      </c>
    </row>
    <row r="33" spans="2:12" ht="27" customHeight="1" x14ac:dyDescent="0.25">
      <c r="B33" s="23" t="s">
        <v>40</v>
      </c>
      <c r="C33" s="23"/>
      <c r="D33" s="23"/>
      <c r="E33" s="1">
        <v>23865</v>
      </c>
      <c r="F33" s="6">
        <v>340</v>
      </c>
      <c r="G33" s="6">
        <f t="shared" si="0"/>
        <v>85</v>
      </c>
      <c r="H33" s="6">
        <v>50.86</v>
      </c>
      <c r="I33" s="12">
        <f t="shared" si="1"/>
        <v>59.835294117647052</v>
      </c>
      <c r="J33" s="6">
        <f t="shared" si="2"/>
        <v>14.958823529411763</v>
      </c>
      <c r="K33" s="6">
        <f>SUM(K4:K32)</f>
        <v>34.149076200000003</v>
      </c>
      <c r="L33" s="6">
        <f>(H33-K33)/K33*100</f>
        <v>48.935214827275459</v>
      </c>
    </row>
    <row r="34" spans="2:12" ht="18.75" x14ac:dyDescent="0.25">
      <c r="D34" s="7"/>
      <c r="E34" s="8"/>
      <c r="F34" s="8"/>
      <c r="G34" s="8"/>
      <c r="H34" s="11"/>
      <c r="I34" s="5"/>
      <c r="J34" s="8"/>
      <c r="K34" s="8"/>
      <c r="L34" s="8"/>
    </row>
    <row r="35" spans="2:12" ht="92.25" customHeight="1" x14ac:dyDescent="0.25">
      <c r="D35" s="1" t="s">
        <v>1</v>
      </c>
      <c r="E35" s="2" t="s">
        <v>3</v>
      </c>
      <c r="F35" s="2" t="s">
        <v>4</v>
      </c>
      <c r="G35" s="2" t="s">
        <v>45</v>
      </c>
      <c r="H35" s="2" t="s">
        <v>43</v>
      </c>
      <c r="I35" s="2" t="s">
        <v>5</v>
      </c>
      <c r="J35" s="2" t="s">
        <v>6</v>
      </c>
      <c r="K35" s="2" t="s">
        <v>44</v>
      </c>
      <c r="L35" s="2" t="s">
        <v>7</v>
      </c>
    </row>
    <row r="36" spans="2:12" ht="18.75" x14ac:dyDescent="0.25">
      <c r="D36" s="3" t="s">
        <v>20</v>
      </c>
      <c r="E36" s="3">
        <v>7082</v>
      </c>
      <c r="F36" s="9">
        <v>108.99999999999999</v>
      </c>
      <c r="G36" s="9">
        <f>F36/12*3</f>
        <v>27.249999999999996</v>
      </c>
      <c r="H36" s="9">
        <v>13.969999999999999</v>
      </c>
      <c r="I36" s="9">
        <f>H36/G36*100</f>
        <v>51.26605504587156</v>
      </c>
      <c r="J36" s="9">
        <f>H36/F36*100</f>
        <v>12.81651376146789</v>
      </c>
      <c r="K36" s="9">
        <v>8.6251159000000008</v>
      </c>
      <c r="L36" s="9">
        <f>(H36-K36)/K36*100</f>
        <v>61.968838007150694</v>
      </c>
    </row>
    <row r="37" spans="2:12" ht="18.75" x14ac:dyDescent="0.25">
      <c r="D37" s="3" t="s">
        <v>10</v>
      </c>
      <c r="E37" s="3">
        <v>9996</v>
      </c>
      <c r="F37" s="9">
        <v>132</v>
      </c>
      <c r="G37" s="9">
        <f t="shared" ref="G37:G38" si="4">F37/12*3</f>
        <v>33</v>
      </c>
      <c r="H37" s="9">
        <v>19.600000000000001</v>
      </c>
      <c r="I37" s="9">
        <f t="shared" ref="I37:I39" si="5">H37/G37*100</f>
        <v>59.393939393939398</v>
      </c>
      <c r="J37" s="9">
        <f t="shared" ref="J37:J39" si="6">H37/F37*100</f>
        <v>14.84848484848485</v>
      </c>
      <c r="K37" s="9">
        <v>12.666709900000001</v>
      </c>
      <c r="L37" s="9">
        <f t="shared" ref="L37:L39" si="7">(H37-K37)/K37*100</f>
        <v>54.736313965791553</v>
      </c>
    </row>
    <row r="38" spans="2:12" ht="18.75" x14ac:dyDescent="0.25">
      <c r="D38" s="3" t="s">
        <v>8</v>
      </c>
      <c r="E38" s="3">
        <v>6787</v>
      </c>
      <c r="F38" s="9">
        <v>99</v>
      </c>
      <c r="G38" s="9">
        <f t="shared" si="4"/>
        <v>24.75</v>
      </c>
      <c r="H38" s="9">
        <v>17.28</v>
      </c>
      <c r="I38" s="9">
        <f t="shared" si="5"/>
        <v>69.818181818181827</v>
      </c>
      <c r="J38" s="9">
        <f t="shared" si="6"/>
        <v>17.454545454545457</v>
      </c>
      <c r="K38" s="9">
        <v>12.8572504</v>
      </c>
      <c r="L38" s="9">
        <f t="shared" si="7"/>
        <v>34.398875828069755</v>
      </c>
    </row>
    <row r="39" spans="2:12" ht="30" customHeight="1" x14ac:dyDescent="0.25">
      <c r="D39" s="1" t="s">
        <v>41</v>
      </c>
      <c r="E39" s="1">
        <v>23865</v>
      </c>
      <c r="F39" s="6">
        <f>SUM(F36:F38)</f>
        <v>340</v>
      </c>
      <c r="G39" s="6">
        <f>F39/12*3</f>
        <v>85</v>
      </c>
      <c r="H39" s="6">
        <v>50.86</v>
      </c>
      <c r="I39" s="13">
        <f t="shared" si="5"/>
        <v>59.835294117647052</v>
      </c>
      <c r="J39" s="10">
        <f t="shared" si="6"/>
        <v>14.958823529411763</v>
      </c>
      <c r="K39" s="10">
        <f>SUM(K36:K38)</f>
        <v>34.149076200000003</v>
      </c>
      <c r="L39" s="10">
        <f t="shared" si="7"/>
        <v>48.935214827275459</v>
      </c>
    </row>
  </sheetData>
  <mergeCells count="2">
    <mergeCell ref="B2:L2"/>
    <mergeCell ref="B33:D33"/>
  </mergeCells>
  <conditionalFormatting sqref="I3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93487-D8CF-4B8F-A297-2C9C24C3CB2A}">
  <sheetPr>
    <pageSetUpPr fitToPage="1"/>
  </sheetPr>
  <dimension ref="B2:L39"/>
  <sheetViews>
    <sheetView tabSelected="1" topLeftCell="C25" workbookViewId="0">
      <selection activeCell="G31" sqref="G31"/>
    </sheetView>
  </sheetViews>
  <sheetFormatPr defaultRowHeight="15" x14ac:dyDescent="0.25"/>
  <cols>
    <col min="2" max="2" width="7.28515625" bestFit="1" customWidth="1"/>
    <col min="3" max="3" width="25.42578125" customWidth="1"/>
    <col min="4" max="5" width="26" customWidth="1"/>
    <col min="6" max="6" width="18.85546875" customWidth="1"/>
    <col min="7" max="7" width="20.5703125" customWidth="1"/>
    <col min="8" max="8" width="21" customWidth="1"/>
    <col min="9" max="9" width="22.28515625" customWidth="1"/>
    <col min="10" max="10" width="19.7109375" customWidth="1"/>
    <col min="11" max="11" width="19.28515625" customWidth="1"/>
    <col min="12" max="12" width="18.140625" customWidth="1"/>
  </cols>
  <sheetData>
    <row r="2" spans="2:12" ht="31.5" x14ac:dyDescent="0.25">
      <c r="B2" s="22" t="s">
        <v>46</v>
      </c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2:12" ht="94.5" customHeight="1" x14ac:dyDescent="0.25">
      <c r="B3" s="1" t="s">
        <v>0</v>
      </c>
      <c r="C3" s="1" t="s">
        <v>1</v>
      </c>
      <c r="D3" s="1" t="s">
        <v>2</v>
      </c>
      <c r="E3" s="2" t="s">
        <v>3</v>
      </c>
      <c r="F3" s="2" t="s">
        <v>4</v>
      </c>
      <c r="G3" s="2" t="s">
        <v>45</v>
      </c>
      <c r="H3" s="2" t="s">
        <v>43</v>
      </c>
      <c r="I3" s="2" t="s">
        <v>5</v>
      </c>
      <c r="J3" s="2" t="s">
        <v>6</v>
      </c>
      <c r="K3" s="2" t="s">
        <v>44</v>
      </c>
      <c r="L3" s="2" t="s">
        <v>7</v>
      </c>
    </row>
    <row r="4" spans="2:12" ht="19.5" x14ac:dyDescent="0.25">
      <c r="B4" s="14">
        <v>1</v>
      </c>
      <c r="C4" s="14" t="s">
        <v>10</v>
      </c>
      <c r="D4" s="14" t="s">
        <v>30</v>
      </c>
      <c r="E4" s="14">
        <v>572</v>
      </c>
      <c r="F4" s="15">
        <v>7.15</v>
      </c>
      <c r="G4" s="15">
        <f t="shared" ref="G4:G32" si="0">F4/12*3</f>
        <v>1.7875000000000001</v>
      </c>
      <c r="H4" s="15">
        <v>2.4988805999999997</v>
      </c>
      <c r="I4" s="15">
        <f t="shared" ref="I4:I32" si="1">H4/G4*100</f>
        <v>139.79751608391607</v>
      </c>
      <c r="J4" s="15">
        <f t="shared" ref="J4:J32" si="2">H4/F4*100</f>
        <v>34.949379020979016</v>
      </c>
      <c r="K4" s="15">
        <v>2.0556057999999999</v>
      </c>
      <c r="L4" s="15">
        <f t="shared" ref="L4:L33" si="3">(H4-K4)/K4*100</f>
        <v>21.56419290118756</v>
      </c>
    </row>
    <row r="5" spans="2:12" ht="19.5" x14ac:dyDescent="0.25">
      <c r="B5" s="14">
        <v>2</v>
      </c>
      <c r="C5" s="14" t="s">
        <v>10</v>
      </c>
      <c r="D5" s="14" t="s">
        <v>11</v>
      </c>
      <c r="E5" s="14">
        <v>884</v>
      </c>
      <c r="F5" s="15">
        <v>9.0399999999999991</v>
      </c>
      <c r="G5" s="15">
        <f t="shared" si="0"/>
        <v>2.2599999999999998</v>
      </c>
      <c r="H5" s="15">
        <v>3.0863838000000001</v>
      </c>
      <c r="I5" s="15">
        <f t="shared" si="1"/>
        <v>136.56565486725665</v>
      </c>
      <c r="J5" s="15">
        <f t="shared" si="2"/>
        <v>34.141413716814164</v>
      </c>
      <c r="K5" s="15">
        <v>2.4518059000000001</v>
      </c>
      <c r="L5" s="15">
        <f t="shared" si="3"/>
        <v>25.882061055485671</v>
      </c>
    </row>
    <row r="6" spans="2:12" ht="19.5" x14ac:dyDescent="0.25">
      <c r="B6" s="14">
        <v>3</v>
      </c>
      <c r="C6" s="14" t="s">
        <v>10</v>
      </c>
      <c r="D6" s="14" t="s">
        <v>27</v>
      </c>
      <c r="E6" s="14">
        <v>557</v>
      </c>
      <c r="F6" s="15">
        <v>6.1</v>
      </c>
      <c r="G6" s="15">
        <f t="shared" si="0"/>
        <v>1.5249999999999999</v>
      </c>
      <c r="H6" s="15">
        <v>1.6669589</v>
      </c>
      <c r="I6" s="15">
        <f t="shared" si="1"/>
        <v>109.30878032786886</v>
      </c>
      <c r="J6" s="15">
        <f t="shared" si="2"/>
        <v>27.327195081967215</v>
      </c>
      <c r="K6" s="15">
        <v>1.1605763</v>
      </c>
      <c r="L6" s="15">
        <f t="shared" si="3"/>
        <v>43.63199558702</v>
      </c>
    </row>
    <row r="7" spans="2:12" ht="19.5" x14ac:dyDescent="0.25">
      <c r="B7" s="14">
        <v>4</v>
      </c>
      <c r="C7" s="14" t="s">
        <v>10</v>
      </c>
      <c r="D7" s="14" t="s">
        <v>12</v>
      </c>
      <c r="E7" s="14">
        <v>1005</v>
      </c>
      <c r="F7" s="15">
        <v>11.39</v>
      </c>
      <c r="G7" s="15">
        <f t="shared" si="0"/>
        <v>2.8475000000000001</v>
      </c>
      <c r="H7" s="15">
        <v>3.0965588999999998</v>
      </c>
      <c r="I7" s="15">
        <f t="shared" si="1"/>
        <v>108.74658121158912</v>
      </c>
      <c r="J7" s="15">
        <f t="shared" si="2"/>
        <v>27.186645302897279</v>
      </c>
      <c r="K7" s="15">
        <v>2.2917931</v>
      </c>
      <c r="L7" s="15">
        <f t="shared" si="3"/>
        <v>35.115115758049875</v>
      </c>
    </row>
    <row r="8" spans="2:12" ht="19.5" x14ac:dyDescent="0.25">
      <c r="B8" s="14">
        <v>5</v>
      </c>
      <c r="C8" s="14" t="s">
        <v>20</v>
      </c>
      <c r="D8" s="14" t="s">
        <v>23</v>
      </c>
      <c r="E8" s="14">
        <v>804</v>
      </c>
      <c r="F8" s="15">
        <v>13.361403508771929</v>
      </c>
      <c r="G8" s="15">
        <f t="shared" si="0"/>
        <v>3.3403508771929822</v>
      </c>
      <c r="H8" s="15">
        <v>3.5751419000000002</v>
      </c>
      <c r="I8" s="15">
        <f t="shared" si="1"/>
        <v>107.02893293067228</v>
      </c>
      <c r="J8" s="15">
        <f t="shared" si="2"/>
        <v>26.757233232668071</v>
      </c>
      <c r="K8" s="15">
        <v>2.6279289000000001</v>
      </c>
      <c r="L8" s="15">
        <f t="shared" si="3"/>
        <v>36.044087798570203</v>
      </c>
    </row>
    <row r="9" spans="2:12" ht="19.5" x14ac:dyDescent="0.25">
      <c r="B9" s="14">
        <v>6</v>
      </c>
      <c r="C9" s="14" t="s">
        <v>10</v>
      </c>
      <c r="D9" s="14" t="s">
        <v>26</v>
      </c>
      <c r="E9" s="14">
        <v>709</v>
      </c>
      <c r="F9" s="15">
        <v>7.72</v>
      </c>
      <c r="G9" s="15">
        <f t="shared" si="0"/>
        <v>1.93</v>
      </c>
      <c r="H9" s="15">
        <v>2.0391357000000001</v>
      </c>
      <c r="I9" s="15">
        <f t="shared" si="1"/>
        <v>105.65469948186529</v>
      </c>
      <c r="J9" s="15">
        <f t="shared" si="2"/>
        <v>26.413674870466323</v>
      </c>
      <c r="K9" s="15">
        <v>1.7113541999999999</v>
      </c>
      <c r="L9" s="15">
        <f t="shared" si="3"/>
        <v>19.153340670213108</v>
      </c>
    </row>
    <row r="10" spans="2:12" ht="19.5" x14ac:dyDescent="0.25">
      <c r="B10" s="14">
        <v>7</v>
      </c>
      <c r="C10" s="14" t="s">
        <v>10</v>
      </c>
      <c r="D10" s="14" t="s">
        <v>17</v>
      </c>
      <c r="E10" s="14">
        <v>528</v>
      </c>
      <c r="F10" s="15">
        <v>6.76</v>
      </c>
      <c r="G10" s="15">
        <f t="shared" si="0"/>
        <v>1.69</v>
      </c>
      <c r="H10" s="15">
        <v>1.7400894999999998</v>
      </c>
      <c r="I10" s="15">
        <f t="shared" si="1"/>
        <v>102.96387573964496</v>
      </c>
      <c r="J10" s="15">
        <f t="shared" si="2"/>
        <v>25.74096893491124</v>
      </c>
      <c r="K10" s="15">
        <v>1.090571</v>
      </c>
      <c r="L10" s="15">
        <f t="shared" si="3"/>
        <v>59.557653742855798</v>
      </c>
    </row>
    <row r="11" spans="2:12" ht="19.5" x14ac:dyDescent="0.25">
      <c r="B11" s="14">
        <v>8</v>
      </c>
      <c r="C11" s="14" t="s">
        <v>8</v>
      </c>
      <c r="D11" s="16" t="s">
        <v>9</v>
      </c>
      <c r="E11" s="16">
        <v>1181</v>
      </c>
      <c r="F11" s="15">
        <v>24</v>
      </c>
      <c r="G11" s="15">
        <f t="shared" si="0"/>
        <v>6</v>
      </c>
      <c r="H11" s="15">
        <v>5.4129122000000001</v>
      </c>
      <c r="I11" s="15">
        <f t="shared" si="1"/>
        <v>90.215203333333335</v>
      </c>
      <c r="J11" s="15">
        <f t="shared" si="2"/>
        <v>22.553800833333334</v>
      </c>
      <c r="K11" s="15">
        <v>4.1238602000000002</v>
      </c>
      <c r="L11" s="15">
        <f t="shared" si="3"/>
        <v>31.258382619275014</v>
      </c>
    </row>
    <row r="12" spans="2:12" ht="19.5" x14ac:dyDescent="0.25">
      <c r="B12" s="14">
        <v>9</v>
      </c>
      <c r="C12" s="14" t="s">
        <v>10</v>
      </c>
      <c r="D12" s="14" t="s">
        <v>28</v>
      </c>
      <c r="E12" s="14">
        <v>948</v>
      </c>
      <c r="F12" s="15">
        <v>12.64</v>
      </c>
      <c r="G12" s="15">
        <f t="shared" si="0"/>
        <v>3.16</v>
      </c>
      <c r="H12" s="15">
        <v>2.8243396000000001</v>
      </c>
      <c r="I12" s="15">
        <f t="shared" si="1"/>
        <v>89.377835443037966</v>
      </c>
      <c r="J12" s="15">
        <f t="shared" si="2"/>
        <v>22.344458860759492</v>
      </c>
      <c r="K12" s="15">
        <v>1.6419463999999999</v>
      </c>
      <c r="L12" s="15">
        <f t="shared" si="3"/>
        <v>72.011680771065372</v>
      </c>
    </row>
    <row r="13" spans="2:12" ht="19.5" x14ac:dyDescent="0.25">
      <c r="B13" s="14">
        <v>10</v>
      </c>
      <c r="C13" s="14" t="s">
        <v>8</v>
      </c>
      <c r="D13" s="16" t="s">
        <v>18</v>
      </c>
      <c r="E13" s="16">
        <v>1054</v>
      </c>
      <c r="F13" s="15">
        <v>11</v>
      </c>
      <c r="G13" s="15">
        <f t="shared" si="0"/>
        <v>2.75</v>
      </c>
      <c r="H13" s="15">
        <v>2.4052600000000002</v>
      </c>
      <c r="I13" s="15">
        <f t="shared" si="1"/>
        <v>87.464000000000013</v>
      </c>
      <c r="J13" s="15">
        <f t="shared" si="2"/>
        <v>21.866000000000003</v>
      </c>
      <c r="K13" s="15">
        <v>1.6917945999999999</v>
      </c>
      <c r="L13" s="15">
        <f t="shared" si="3"/>
        <v>42.172105289850215</v>
      </c>
    </row>
    <row r="14" spans="2:12" ht="19.5" x14ac:dyDescent="0.25">
      <c r="B14" s="14">
        <v>11</v>
      </c>
      <c r="C14" s="14" t="s">
        <v>20</v>
      </c>
      <c r="D14" s="14" t="s">
        <v>31</v>
      </c>
      <c r="E14" s="14">
        <v>758</v>
      </c>
      <c r="F14" s="15">
        <v>12.675438596491226</v>
      </c>
      <c r="G14" s="15">
        <f t="shared" si="0"/>
        <v>3.1688596491228065</v>
      </c>
      <c r="H14" s="15">
        <v>2.6516060000000001</v>
      </c>
      <c r="I14" s="15">
        <f t="shared" si="1"/>
        <v>83.67697826989621</v>
      </c>
      <c r="J14" s="15">
        <f t="shared" si="2"/>
        <v>20.919244567474053</v>
      </c>
      <c r="K14" s="15">
        <v>1.5191650000000001</v>
      </c>
      <c r="L14" s="15">
        <f t="shared" si="3"/>
        <v>74.543647332580719</v>
      </c>
    </row>
    <row r="15" spans="2:12" ht="19.5" x14ac:dyDescent="0.25">
      <c r="B15" s="14">
        <v>12</v>
      </c>
      <c r="C15" s="14" t="s">
        <v>8</v>
      </c>
      <c r="D15" s="16" t="s">
        <v>13</v>
      </c>
      <c r="E15" s="16">
        <v>858</v>
      </c>
      <c r="F15" s="15">
        <v>3</v>
      </c>
      <c r="G15" s="15">
        <f t="shared" si="0"/>
        <v>0.75</v>
      </c>
      <c r="H15" s="15">
        <v>0.62587130000000002</v>
      </c>
      <c r="I15" s="15">
        <f t="shared" si="1"/>
        <v>83.449506666666679</v>
      </c>
      <c r="J15" s="15">
        <f t="shared" si="2"/>
        <v>20.86237666666667</v>
      </c>
      <c r="K15" s="15">
        <v>0.44504110000000002</v>
      </c>
      <c r="L15" s="15">
        <f t="shared" si="3"/>
        <v>40.632247223908081</v>
      </c>
    </row>
    <row r="16" spans="2:12" ht="19.5" x14ac:dyDescent="0.25">
      <c r="B16" s="14">
        <v>13</v>
      </c>
      <c r="C16" s="14" t="s">
        <v>20</v>
      </c>
      <c r="D16" s="14" t="s">
        <v>21</v>
      </c>
      <c r="E16" s="14">
        <v>1119</v>
      </c>
      <c r="F16" s="15">
        <v>13.778947368421051</v>
      </c>
      <c r="G16" s="15">
        <f t="shared" si="0"/>
        <v>3.4447368421052627</v>
      </c>
      <c r="H16" s="15">
        <v>2.8681913999999997</v>
      </c>
      <c r="I16" s="15">
        <f t="shared" si="1"/>
        <v>83.263004736440038</v>
      </c>
      <c r="J16" s="15">
        <f t="shared" si="2"/>
        <v>20.81575118411001</v>
      </c>
      <c r="K16" s="15">
        <v>1.8371213</v>
      </c>
      <c r="L16" s="15">
        <f t="shared" si="3"/>
        <v>56.124225439006118</v>
      </c>
    </row>
    <row r="17" spans="2:12" ht="19.5" x14ac:dyDescent="0.25">
      <c r="B17" s="14">
        <v>14</v>
      </c>
      <c r="C17" s="14" t="s">
        <v>8</v>
      </c>
      <c r="D17" s="16" t="s">
        <v>24</v>
      </c>
      <c r="E17" s="16">
        <v>759</v>
      </c>
      <c r="F17" s="15">
        <v>17</v>
      </c>
      <c r="G17" s="15">
        <f t="shared" si="0"/>
        <v>4.25</v>
      </c>
      <c r="H17" s="15">
        <v>3.4631512000000004</v>
      </c>
      <c r="I17" s="15">
        <f t="shared" si="1"/>
        <v>81.485910588235299</v>
      </c>
      <c r="J17" s="15">
        <f t="shared" si="2"/>
        <v>20.371477647058825</v>
      </c>
      <c r="K17" s="15">
        <v>2.4182815999999998</v>
      </c>
      <c r="L17" s="15">
        <f t="shared" si="3"/>
        <v>43.207110371265308</v>
      </c>
    </row>
    <row r="18" spans="2:12" ht="19.5" x14ac:dyDescent="0.25">
      <c r="B18" s="14">
        <v>15</v>
      </c>
      <c r="C18" s="14" t="s">
        <v>8</v>
      </c>
      <c r="D18" s="16" t="s">
        <v>22</v>
      </c>
      <c r="E18" s="16">
        <v>735</v>
      </c>
      <c r="F18" s="15">
        <v>9</v>
      </c>
      <c r="G18" s="15">
        <f t="shared" si="0"/>
        <v>2.25</v>
      </c>
      <c r="H18" s="15">
        <v>1.8280364</v>
      </c>
      <c r="I18" s="15">
        <f t="shared" si="1"/>
        <v>81.246062222222221</v>
      </c>
      <c r="J18" s="15">
        <f t="shared" si="2"/>
        <v>20.311515555555555</v>
      </c>
      <c r="K18" s="15">
        <v>1.6773321999999999</v>
      </c>
      <c r="L18" s="15">
        <f t="shared" si="3"/>
        <v>8.9847556733245852</v>
      </c>
    </row>
    <row r="19" spans="2:12" ht="19.5" x14ac:dyDescent="0.25">
      <c r="B19" s="14">
        <v>16</v>
      </c>
      <c r="C19" s="14" t="s">
        <v>8</v>
      </c>
      <c r="D19" s="16" t="s">
        <v>15</v>
      </c>
      <c r="E19" s="16">
        <v>724</v>
      </c>
      <c r="F19" s="15">
        <v>8</v>
      </c>
      <c r="G19" s="15">
        <f t="shared" si="0"/>
        <v>2</v>
      </c>
      <c r="H19" s="15">
        <v>1.6188387</v>
      </c>
      <c r="I19" s="15">
        <f t="shared" si="1"/>
        <v>80.941935000000001</v>
      </c>
      <c r="J19" s="15">
        <f t="shared" si="2"/>
        <v>20.23548375</v>
      </c>
      <c r="K19" s="15">
        <v>1.1012469</v>
      </c>
      <c r="L19" s="15">
        <f t="shared" si="3"/>
        <v>47.000522771051607</v>
      </c>
    </row>
    <row r="20" spans="2:12" ht="19.5" x14ac:dyDescent="0.25">
      <c r="B20" s="14">
        <v>17</v>
      </c>
      <c r="C20" s="14" t="s">
        <v>8</v>
      </c>
      <c r="D20" s="16" t="s">
        <v>16</v>
      </c>
      <c r="E20" s="16">
        <v>887</v>
      </c>
      <c r="F20" s="15">
        <v>11</v>
      </c>
      <c r="G20" s="15">
        <f t="shared" si="0"/>
        <v>2.75</v>
      </c>
      <c r="H20" s="15">
        <v>2.1668268999999998</v>
      </c>
      <c r="I20" s="15">
        <f t="shared" si="1"/>
        <v>78.793705454545446</v>
      </c>
      <c r="J20" s="15">
        <f t="shared" si="2"/>
        <v>19.698426363636361</v>
      </c>
      <c r="K20" s="15">
        <v>1.5172641</v>
      </c>
      <c r="L20" s="15">
        <f t="shared" si="3"/>
        <v>42.811452534861907</v>
      </c>
    </row>
    <row r="21" spans="2:12" ht="19.5" x14ac:dyDescent="0.25">
      <c r="B21" s="14">
        <v>18</v>
      </c>
      <c r="C21" s="14" t="s">
        <v>10</v>
      </c>
      <c r="D21" s="14" t="s">
        <v>19</v>
      </c>
      <c r="E21" s="14">
        <v>725</v>
      </c>
      <c r="F21" s="15">
        <v>8.2200000000000006</v>
      </c>
      <c r="G21" s="15">
        <f t="shared" si="0"/>
        <v>2.0550000000000002</v>
      </c>
      <c r="H21" s="15">
        <v>1.5729084000000002</v>
      </c>
      <c r="I21" s="15">
        <f t="shared" si="1"/>
        <v>76.540554744525551</v>
      </c>
      <c r="J21" s="15">
        <f t="shared" si="2"/>
        <v>19.135138686131388</v>
      </c>
      <c r="K21" s="15">
        <v>1.3380502000000001</v>
      </c>
      <c r="L21" s="15">
        <f t="shared" si="3"/>
        <v>17.552271207761869</v>
      </c>
    </row>
    <row r="22" spans="2:12" ht="19.5" x14ac:dyDescent="0.25">
      <c r="B22" s="14">
        <v>19</v>
      </c>
      <c r="C22" s="14" t="s">
        <v>20</v>
      </c>
      <c r="D22" s="14" t="s">
        <v>36</v>
      </c>
      <c r="E22" s="14">
        <v>743</v>
      </c>
      <c r="F22" s="15">
        <v>9.871929824561402</v>
      </c>
      <c r="G22" s="15">
        <f t="shared" si="0"/>
        <v>2.4679824561403505</v>
      </c>
      <c r="H22" s="15">
        <v>1.8792787999999998</v>
      </c>
      <c r="I22" s="15">
        <f t="shared" si="1"/>
        <v>76.146359765416747</v>
      </c>
      <c r="J22" s="15">
        <f t="shared" si="2"/>
        <v>19.036589941354187</v>
      </c>
      <c r="K22" s="15">
        <v>1.249355</v>
      </c>
      <c r="L22" s="15">
        <f t="shared" si="3"/>
        <v>50.419920679070387</v>
      </c>
    </row>
    <row r="23" spans="2:12" ht="19.5" x14ac:dyDescent="0.25">
      <c r="B23" s="14">
        <v>20</v>
      </c>
      <c r="C23" s="14" t="s">
        <v>10</v>
      </c>
      <c r="D23" s="14" t="s">
        <v>34</v>
      </c>
      <c r="E23" s="14">
        <v>996</v>
      </c>
      <c r="F23" s="15">
        <v>12.78</v>
      </c>
      <c r="G23" s="15">
        <f t="shared" si="0"/>
        <v>3.1949999999999998</v>
      </c>
      <c r="H23" s="15">
        <v>2.3413060000000003</v>
      </c>
      <c r="I23" s="15">
        <f t="shared" si="1"/>
        <v>73.280312989045399</v>
      </c>
      <c r="J23" s="15">
        <f t="shared" si="2"/>
        <v>18.32007824726135</v>
      </c>
      <c r="K23" s="15">
        <v>1.6128224</v>
      </c>
      <c r="L23" s="15">
        <f t="shared" si="3"/>
        <v>45.168246671177208</v>
      </c>
    </row>
    <row r="24" spans="2:12" ht="19.5" x14ac:dyDescent="0.25">
      <c r="B24" s="14">
        <v>21</v>
      </c>
      <c r="C24" s="14" t="s">
        <v>8</v>
      </c>
      <c r="D24" s="16" t="s">
        <v>25</v>
      </c>
      <c r="E24" s="16">
        <v>589</v>
      </c>
      <c r="F24" s="15">
        <v>10</v>
      </c>
      <c r="G24" s="15">
        <f t="shared" si="0"/>
        <v>2.5</v>
      </c>
      <c r="H24" s="15">
        <v>1.7995225000000001</v>
      </c>
      <c r="I24" s="15">
        <f t="shared" si="1"/>
        <v>71.980900000000005</v>
      </c>
      <c r="J24" s="15">
        <f t="shared" si="2"/>
        <v>17.995225000000001</v>
      </c>
      <c r="K24" s="15">
        <v>1.3444111000000001</v>
      </c>
      <c r="L24" s="15">
        <f t="shared" si="3"/>
        <v>33.852100745077159</v>
      </c>
    </row>
    <row r="25" spans="2:12" ht="19.5" x14ac:dyDescent="0.25">
      <c r="B25" s="14">
        <v>22</v>
      </c>
      <c r="C25" s="14" t="s">
        <v>20</v>
      </c>
      <c r="D25" s="14" t="s">
        <v>38</v>
      </c>
      <c r="E25" s="14">
        <v>965</v>
      </c>
      <c r="F25" s="15">
        <v>14.077192982456138</v>
      </c>
      <c r="G25" s="15">
        <f t="shared" si="0"/>
        <v>3.519298245614034</v>
      </c>
      <c r="H25" s="15">
        <v>2.4552322000000002</v>
      </c>
      <c r="I25" s="15">
        <f t="shared" si="1"/>
        <v>69.764823230309105</v>
      </c>
      <c r="J25" s="15">
        <f t="shared" si="2"/>
        <v>17.441205807577273</v>
      </c>
      <c r="K25" s="15">
        <v>1.7042261999999999</v>
      </c>
      <c r="L25" s="15">
        <f t="shared" si="3"/>
        <v>44.067272290497606</v>
      </c>
    </row>
    <row r="26" spans="2:12" ht="19.5" x14ac:dyDescent="0.25">
      <c r="B26" s="14">
        <v>23</v>
      </c>
      <c r="C26" s="14" t="s">
        <v>10</v>
      </c>
      <c r="D26" s="14" t="s">
        <v>39</v>
      </c>
      <c r="E26" s="14">
        <v>888</v>
      </c>
      <c r="F26" s="15">
        <v>12.8</v>
      </c>
      <c r="G26" s="15">
        <f t="shared" si="0"/>
        <v>3.2</v>
      </c>
      <c r="H26" s="15">
        <v>2.1721822</v>
      </c>
      <c r="I26" s="15">
        <f t="shared" si="1"/>
        <v>67.880693749999992</v>
      </c>
      <c r="J26" s="15">
        <f t="shared" si="2"/>
        <v>16.970173437499998</v>
      </c>
      <c r="K26" s="15">
        <v>1.4860272000000001</v>
      </c>
      <c r="L26" s="15">
        <f t="shared" si="3"/>
        <v>46.173784705959605</v>
      </c>
    </row>
    <row r="27" spans="2:12" ht="19.5" x14ac:dyDescent="0.25">
      <c r="B27" s="14">
        <v>24</v>
      </c>
      <c r="C27" s="14" t="s">
        <v>20</v>
      </c>
      <c r="D27" s="14" t="s">
        <v>32</v>
      </c>
      <c r="E27" s="14">
        <v>944</v>
      </c>
      <c r="F27" s="15">
        <v>12.943859649122805</v>
      </c>
      <c r="G27" s="15">
        <f t="shared" si="0"/>
        <v>3.2359649122807013</v>
      </c>
      <c r="H27" s="15">
        <v>2.0518440999999998</v>
      </c>
      <c r="I27" s="15">
        <f t="shared" si="1"/>
        <v>63.407489129845494</v>
      </c>
      <c r="J27" s="15">
        <f t="shared" si="2"/>
        <v>15.851872282461374</v>
      </c>
      <c r="K27" s="15">
        <v>1.1975822</v>
      </c>
      <c r="L27" s="15">
        <f t="shared" si="3"/>
        <v>71.33221418955624</v>
      </c>
    </row>
    <row r="28" spans="2:12" ht="19.5" x14ac:dyDescent="0.25">
      <c r="B28" s="14">
        <v>25</v>
      </c>
      <c r="C28" s="14" t="s">
        <v>20</v>
      </c>
      <c r="D28" s="14" t="s">
        <v>29</v>
      </c>
      <c r="E28" s="14">
        <v>1072</v>
      </c>
      <c r="F28" s="15">
        <v>14.077192982456138</v>
      </c>
      <c r="G28" s="15">
        <f t="shared" si="0"/>
        <v>3.519298245614034</v>
      </c>
      <c r="H28" s="15">
        <v>2.2146707000000001</v>
      </c>
      <c r="I28" s="15">
        <f t="shared" si="1"/>
        <v>62.929326969092749</v>
      </c>
      <c r="J28" s="15">
        <f t="shared" si="2"/>
        <v>15.732331742273184</v>
      </c>
      <c r="K28" s="15">
        <v>1.1203718</v>
      </c>
      <c r="L28" s="15">
        <f t="shared" si="3"/>
        <v>97.67283503565514</v>
      </c>
    </row>
    <row r="29" spans="2:12" ht="19.5" x14ac:dyDescent="0.25">
      <c r="B29" s="14">
        <v>26</v>
      </c>
      <c r="C29" s="14" t="s">
        <v>10</v>
      </c>
      <c r="D29" s="14" t="s">
        <v>37</v>
      </c>
      <c r="E29" s="14">
        <v>622</v>
      </c>
      <c r="F29" s="15">
        <v>9.5500000000000007</v>
      </c>
      <c r="G29" s="15">
        <f t="shared" si="0"/>
        <v>2.3875000000000002</v>
      </c>
      <c r="H29" s="15">
        <v>1.483349</v>
      </c>
      <c r="I29" s="15">
        <f t="shared" si="1"/>
        <v>62.129801047120417</v>
      </c>
      <c r="J29" s="15">
        <f t="shared" si="2"/>
        <v>15.532450261780104</v>
      </c>
      <c r="K29" s="15">
        <v>0.89291019999999999</v>
      </c>
      <c r="L29" s="15">
        <f t="shared" si="3"/>
        <v>66.125216175154009</v>
      </c>
    </row>
    <row r="30" spans="2:12" ht="19.5" x14ac:dyDescent="0.25">
      <c r="B30" s="14">
        <v>27</v>
      </c>
      <c r="C30" s="14" t="s">
        <v>10</v>
      </c>
      <c r="D30" s="14" t="s">
        <v>14</v>
      </c>
      <c r="E30" s="14">
        <v>575</v>
      </c>
      <c r="F30" s="15">
        <v>5.94</v>
      </c>
      <c r="G30" s="15">
        <f t="shared" si="0"/>
        <v>1.4850000000000001</v>
      </c>
      <c r="H30" s="15">
        <v>0.92231160000000001</v>
      </c>
      <c r="I30" s="15">
        <f t="shared" si="1"/>
        <v>62.108525252525247</v>
      </c>
      <c r="J30" s="15">
        <f t="shared" si="2"/>
        <v>15.527131313131312</v>
      </c>
      <c r="K30" s="15">
        <v>0.84789550000000002</v>
      </c>
      <c r="L30" s="15">
        <f t="shared" si="3"/>
        <v>8.7765650366112311</v>
      </c>
    </row>
    <row r="31" spans="2:12" ht="19.5" x14ac:dyDescent="0.25">
      <c r="B31" s="14">
        <v>28</v>
      </c>
      <c r="C31" s="14" t="s">
        <v>10</v>
      </c>
      <c r="D31" s="14" t="s">
        <v>35</v>
      </c>
      <c r="E31" s="14">
        <v>987</v>
      </c>
      <c r="F31" s="15">
        <v>12.91</v>
      </c>
      <c r="G31" s="15">
        <f t="shared" si="0"/>
        <v>3.2275</v>
      </c>
      <c r="H31" s="15">
        <v>1.8812907000000001</v>
      </c>
      <c r="I31" s="15">
        <f t="shared" si="1"/>
        <v>58.289409759876065</v>
      </c>
      <c r="J31" s="15">
        <f t="shared" si="2"/>
        <v>14.572352439969016</v>
      </c>
      <c r="K31" s="15">
        <v>1.5541147</v>
      </c>
      <c r="L31" s="15">
        <f t="shared" si="3"/>
        <v>21.052242797780636</v>
      </c>
    </row>
    <row r="32" spans="2:12" ht="19.5" x14ac:dyDescent="0.25">
      <c r="B32" s="14">
        <v>29</v>
      </c>
      <c r="C32" s="14" t="s">
        <v>20</v>
      </c>
      <c r="D32" s="14" t="s">
        <v>33</v>
      </c>
      <c r="E32" s="14">
        <v>677</v>
      </c>
      <c r="F32" s="15">
        <v>11.214035087719296</v>
      </c>
      <c r="G32" s="15">
        <f t="shared" si="0"/>
        <v>2.803508771929824</v>
      </c>
      <c r="H32" s="15">
        <v>1.4618556</v>
      </c>
      <c r="I32" s="15">
        <f t="shared" si="1"/>
        <v>52.143785481852319</v>
      </c>
      <c r="J32" s="15">
        <f t="shared" si="2"/>
        <v>13.03594637046308</v>
      </c>
      <c r="K32" s="15">
        <v>0.92874429999999997</v>
      </c>
      <c r="L32" s="15">
        <f t="shared" si="3"/>
        <v>57.401299798017611</v>
      </c>
    </row>
    <row r="33" spans="2:12" ht="30.75" customHeight="1" x14ac:dyDescent="0.25">
      <c r="B33" s="23" t="s">
        <v>40</v>
      </c>
      <c r="C33" s="23"/>
      <c r="D33" s="23"/>
      <c r="E33" s="1">
        <v>23865</v>
      </c>
      <c r="F33" s="6">
        <v>318</v>
      </c>
      <c r="G33" s="6">
        <f t="shared" ref="G33" si="4">F33/12*3</f>
        <v>79.5</v>
      </c>
      <c r="H33" s="6">
        <v>65.803934800000007</v>
      </c>
      <c r="I33" s="12">
        <f t="shared" ref="I33" si="5">H33/G33*100</f>
        <v>82.772245031446545</v>
      </c>
      <c r="J33" s="6">
        <f t="shared" ref="J33" si="6">H33/F33*100</f>
        <v>20.693061257861636</v>
      </c>
      <c r="K33" s="6">
        <f>SUM(K4:K32)</f>
        <v>46.63919940000001</v>
      </c>
      <c r="L33" s="12">
        <f t="shared" si="3"/>
        <v>41.091475939872147</v>
      </c>
    </row>
    <row r="34" spans="2:12" x14ac:dyDescent="0.25">
      <c r="D34" s="7"/>
      <c r="E34" s="8"/>
      <c r="F34" s="11"/>
      <c r="G34" s="8"/>
      <c r="H34" s="8"/>
      <c r="I34" s="8"/>
      <c r="J34" s="8"/>
      <c r="K34" s="8"/>
      <c r="L34" s="8"/>
    </row>
    <row r="35" spans="2:12" ht="90.75" customHeight="1" x14ac:dyDescent="0.25">
      <c r="D35" s="1" t="s">
        <v>1</v>
      </c>
      <c r="E35" s="2" t="s">
        <v>3</v>
      </c>
      <c r="F35" s="2" t="s">
        <v>4</v>
      </c>
      <c r="G35" s="2" t="s">
        <v>45</v>
      </c>
      <c r="H35" s="2" t="s">
        <v>43</v>
      </c>
      <c r="I35" s="2" t="s">
        <v>5</v>
      </c>
      <c r="J35" s="2" t="s">
        <v>6</v>
      </c>
      <c r="K35" s="2" t="s">
        <v>44</v>
      </c>
      <c r="L35" s="2" t="s">
        <v>7</v>
      </c>
    </row>
    <row r="36" spans="2:12" ht="19.5" x14ac:dyDescent="0.25">
      <c r="D36" s="3" t="s">
        <v>10</v>
      </c>
      <c r="E36" s="14">
        <v>9996</v>
      </c>
      <c r="F36" s="17">
        <v>123</v>
      </c>
      <c r="G36" s="17">
        <f>F36/12*3</f>
        <v>30.75</v>
      </c>
      <c r="H36" s="17">
        <v>27.32</v>
      </c>
      <c r="I36" s="17">
        <f>H36/G36*100</f>
        <v>88.845528455284551</v>
      </c>
      <c r="J36" s="17">
        <f>H36/F36*100</f>
        <v>22.211382113821138</v>
      </c>
      <c r="K36" s="17">
        <v>20.1354729</v>
      </c>
      <c r="L36" s="17">
        <f>(H36-K36)/K36*100</f>
        <v>35.680945442309429</v>
      </c>
    </row>
    <row r="37" spans="2:12" ht="19.5" x14ac:dyDescent="0.25">
      <c r="D37" s="3" t="s">
        <v>8</v>
      </c>
      <c r="E37" s="14">
        <v>6787</v>
      </c>
      <c r="F37" s="17">
        <v>93</v>
      </c>
      <c r="G37" s="17">
        <f>F37/12*3</f>
        <v>23.25</v>
      </c>
      <c r="H37" s="17">
        <v>19.32</v>
      </c>
      <c r="I37" s="17">
        <f>H37/G37*100</f>
        <v>83.096774193548384</v>
      </c>
      <c r="J37" s="17">
        <f>H37/F37*100</f>
        <v>20.774193548387096</v>
      </c>
      <c r="K37" s="17">
        <v>14.319231800000001</v>
      </c>
      <c r="L37" s="17">
        <f>(H37-K37)/K37*100</f>
        <v>34.923439119129277</v>
      </c>
    </row>
    <row r="38" spans="2:12" ht="19.5" x14ac:dyDescent="0.25">
      <c r="D38" s="3" t="s">
        <v>20</v>
      </c>
      <c r="E38" s="14">
        <v>7082</v>
      </c>
      <c r="F38" s="17">
        <v>102</v>
      </c>
      <c r="G38" s="17">
        <f>F38/12*3</f>
        <v>25.5</v>
      </c>
      <c r="H38" s="17">
        <v>19.16</v>
      </c>
      <c r="I38" s="17">
        <f>H38/G38*100</f>
        <v>75.137254901960787</v>
      </c>
      <c r="J38" s="17">
        <f>H38/F38*100</f>
        <v>18.784313725490197</v>
      </c>
      <c r="K38" s="17">
        <v>12.1844947</v>
      </c>
      <c r="L38" s="17">
        <f>(H38-K38)/K38*100</f>
        <v>57.249032247517007</v>
      </c>
    </row>
    <row r="39" spans="2:12" ht="32.25" customHeight="1" x14ac:dyDescent="0.25">
      <c r="D39" s="1" t="s">
        <v>41</v>
      </c>
      <c r="E39" s="1">
        <v>23865</v>
      </c>
      <c r="F39" s="6">
        <v>318</v>
      </c>
      <c r="G39" s="6">
        <f t="shared" ref="G39" si="7">F39/12*3</f>
        <v>79.5</v>
      </c>
      <c r="H39" s="6">
        <v>65.800000000000011</v>
      </c>
      <c r="I39" s="13">
        <f t="shared" ref="I39" si="8">H39/G39*100</f>
        <v>82.767295597484292</v>
      </c>
      <c r="J39" s="10">
        <f t="shared" ref="J39" si="9">H39/F39*100</f>
        <v>20.691823899371073</v>
      </c>
      <c r="K39" s="10">
        <f>SUM(K36:K38)</f>
        <v>46.639199400000003</v>
      </c>
      <c r="L39" s="13">
        <f t="shared" ref="L39" si="10">(H39-K39)/K39*100</f>
        <v>41.083039259889198</v>
      </c>
    </row>
  </sheetData>
  <mergeCells count="2">
    <mergeCell ref="B2:L2"/>
    <mergeCell ref="B33:D33"/>
  </mergeCells>
  <conditionalFormatting sqref="I4:I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6:I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53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9E11-C09E-485B-A1EA-B5A1F640A4D9}">
  <dimension ref="B2:L39"/>
  <sheetViews>
    <sheetView workbookViewId="0">
      <selection activeCell="G42" sqref="G42"/>
    </sheetView>
  </sheetViews>
  <sheetFormatPr defaultRowHeight="15" x14ac:dyDescent="0.25"/>
  <cols>
    <col min="2" max="2" width="7.28515625" bestFit="1" customWidth="1"/>
    <col min="3" max="3" width="25.42578125" customWidth="1"/>
    <col min="4" max="5" width="26" customWidth="1"/>
    <col min="6" max="6" width="18.85546875" customWidth="1"/>
    <col min="7" max="7" width="20.5703125" customWidth="1"/>
    <col min="8" max="8" width="21" customWidth="1"/>
    <col min="9" max="9" width="22.28515625" customWidth="1"/>
    <col min="10" max="10" width="19.7109375" customWidth="1"/>
    <col min="11" max="11" width="19.28515625" customWidth="1"/>
    <col min="12" max="12" width="18.140625" customWidth="1"/>
  </cols>
  <sheetData>
    <row r="2" spans="2:12" ht="31.5" x14ac:dyDescent="0.25">
      <c r="B2" s="22" t="s">
        <v>46</v>
      </c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2:12" ht="94.5" customHeight="1" x14ac:dyDescent="0.25">
      <c r="B3" s="1" t="s">
        <v>0</v>
      </c>
      <c r="C3" s="1" t="s">
        <v>1</v>
      </c>
      <c r="D3" s="1" t="s">
        <v>2</v>
      </c>
      <c r="E3" s="2" t="s">
        <v>3</v>
      </c>
      <c r="F3" s="2" t="s">
        <v>4</v>
      </c>
      <c r="G3" s="2" t="s">
        <v>45</v>
      </c>
      <c r="H3" s="2" t="s">
        <v>43</v>
      </c>
      <c r="I3" s="2" t="s">
        <v>5</v>
      </c>
      <c r="J3" s="2" t="s">
        <v>6</v>
      </c>
      <c r="K3" s="2" t="s">
        <v>44</v>
      </c>
      <c r="L3" s="2" t="s">
        <v>7</v>
      </c>
    </row>
    <row r="4" spans="2:12" ht="18.75" x14ac:dyDescent="0.25">
      <c r="B4" s="3">
        <v>1</v>
      </c>
      <c r="C4" s="3" t="s">
        <v>20</v>
      </c>
      <c r="D4" s="3" t="s">
        <v>29</v>
      </c>
      <c r="E4" s="3">
        <v>1072</v>
      </c>
      <c r="F4" s="5">
        <v>14.077192982456138</v>
      </c>
      <c r="G4" s="5">
        <f>F4/12*3</f>
        <v>3.519298245614034</v>
      </c>
      <c r="H4" s="5">
        <v>2.2146707000000001</v>
      </c>
      <c r="I4" s="5">
        <f>H4/G4*100</f>
        <v>62.929326969092749</v>
      </c>
      <c r="J4" s="5">
        <f>H4/F4*100</f>
        <v>15.732331742273184</v>
      </c>
      <c r="K4" s="5">
        <v>1.1203718</v>
      </c>
      <c r="L4" s="5">
        <f>(H4-K4)/K4*100</f>
        <v>97.67283503565514</v>
      </c>
    </row>
    <row r="5" spans="2:12" ht="18.75" x14ac:dyDescent="0.25">
      <c r="B5" s="3">
        <v>2</v>
      </c>
      <c r="C5" s="3" t="s">
        <v>20</v>
      </c>
      <c r="D5" s="3" t="s">
        <v>31</v>
      </c>
      <c r="E5" s="3">
        <v>758</v>
      </c>
      <c r="F5" s="5">
        <v>12.675438596491226</v>
      </c>
      <c r="G5" s="5">
        <f t="shared" ref="G5:G33" si="0">F5/12*3</f>
        <v>3.1688596491228065</v>
      </c>
      <c r="H5" s="5">
        <v>2.6516060000000001</v>
      </c>
      <c r="I5" s="5">
        <f t="shared" ref="I5:I33" si="1">H5/G5*100</f>
        <v>83.67697826989621</v>
      </c>
      <c r="J5" s="5">
        <f t="shared" ref="J5:J33" si="2">H5/F5*100</f>
        <v>20.919244567474053</v>
      </c>
      <c r="K5" s="5">
        <v>1.5191650000000001</v>
      </c>
      <c r="L5" s="5">
        <f t="shared" ref="L5:L32" si="3">(H5-K5)/K5*100</f>
        <v>74.543647332580719</v>
      </c>
    </row>
    <row r="6" spans="2:12" ht="18.75" x14ac:dyDescent="0.25">
      <c r="B6" s="3">
        <v>3</v>
      </c>
      <c r="C6" s="3" t="s">
        <v>20</v>
      </c>
      <c r="D6" s="3" t="s">
        <v>23</v>
      </c>
      <c r="E6" s="3">
        <v>804</v>
      </c>
      <c r="F6" s="5">
        <v>13.361403508771929</v>
      </c>
      <c r="G6" s="5">
        <f t="shared" si="0"/>
        <v>3.3403508771929822</v>
      </c>
      <c r="H6" s="5">
        <v>3.5751419000000002</v>
      </c>
      <c r="I6" s="5">
        <f t="shared" si="1"/>
        <v>107.02893293067228</v>
      </c>
      <c r="J6" s="5">
        <f t="shared" si="2"/>
        <v>26.757233232668071</v>
      </c>
      <c r="K6" s="5">
        <v>2.6279289000000001</v>
      </c>
      <c r="L6" s="5">
        <f t="shared" si="3"/>
        <v>36.044087798570203</v>
      </c>
    </row>
    <row r="7" spans="2:12" ht="18.75" x14ac:dyDescent="0.25">
      <c r="B7" s="3">
        <v>4</v>
      </c>
      <c r="C7" s="3" t="s">
        <v>20</v>
      </c>
      <c r="D7" s="3" t="s">
        <v>38</v>
      </c>
      <c r="E7" s="3">
        <v>965</v>
      </c>
      <c r="F7" s="5">
        <v>14.077192982456138</v>
      </c>
      <c r="G7" s="5">
        <f t="shared" si="0"/>
        <v>3.519298245614034</v>
      </c>
      <c r="H7" s="5">
        <v>2.4552322000000002</v>
      </c>
      <c r="I7" s="5">
        <f t="shared" si="1"/>
        <v>69.764823230309105</v>
      </c>
      <c r="J7" s="5">
        <f t="shared" si="2"/>
        <v>17.441205807577273</v>
      </c>
      <c r="K7" s="5">
        <v>1.7042261999999999</v>
      </c>
      <c r="L7" s="5">
        <f t="shared" si="3"/>
        <v>44.067272290497606</v>
      </c>
    </row>
    <row r="8" spans="2:12" ht="18.75" x14ac:dyDescent="0.25">
      <c r="B8" s="3">
        <v>5</v>
      </c>
      <c r="C8" s="3" t="s">
        <v>20</v>
      </c>
      <c r="D8" s="3" t="s">
        <v>32</v>
      </c>
      <c r="E8" s="3">
        <v>944</v>
      </c>
      <c r="F8" s="5">
        <v>12.943859649122805</v>
      </c>
      <c r="G8" s="5">
        <f t="shared" si="0"/>
        <v>3.2359649122807013</v>
      </c>
      <c r="H8" s="5">
        <v>2.0518440999999998</v>
      </c>
      <c r="I8" s="5">
        <f t="shared" si="1"/>
        <v>63.407489129845494</v>
      </c>
      <c r="J8" s="5">
        <f t="shared" si="2"/>
        <v>15.851872282461374</v>
      </c>
      <c r="K8" s="5">
        <v>1.1975822</v>
      </c>
      <c r="L8" s="5">
        <f t="shared" si="3"/>
        <v>71.33221418955624</v>
      </c>
    </row>
    <row r="9" spans="2:12" ht="18.75" x14ac:dyDescent="0.25">
      <c r="B9" s="3">
        <v>6</v>
      </c>
      <c r="C9" s="3" t="s">
        <v>20</v>
      </c>
      <c r="D9" s="3" t="s">
        <v>36</v>
      </c>
      <c r="E9" s="3">
        <v>743</v>
      </c>
      <c r="F9" s="5">
        <v>9.871929824561402</v>
      </c>
      <c r="G9" s="5">
        <f t="shared" si="0"/>
        <v>2.4679824561403505</v>
      </c>
      <c r="H9" s="5">
        <v>1.8792787999999998</v>
      </c>
      <c r="I9" s="5">
        <f t="shared" si="1"/>
        <v>76.146359765416747</v>
      </c>
      <c r="J9" s="5">
        <f t="shared" si="2"/>
        <v>19.036589941354187</v>
      </c>
      <c r="K9" s="5">
        <v>1.249355</v>
      </c>
      <c r="L9" s="5">
        <f t="shared" si="3"/>
        <v>50.419920679070387</v>
      </c>
    </row>
    <row r="10" spans="2:12" ht="18.75" x14ac:dyDescent="0.25">
      <c r="B10" s="3">
        <v>7</v>
      </c>
      <c r="C10" s="3" t="s">
        <v>20</v>
      </c>
      <c r="D10" s="3" t="s">
        <v>33</v>
      </c>
      <c r="E10" s="3">
        <v>677</v>
      </c>
      <c r="F10" s="5">
        <v>11.214035087719296</v>
      </c>
      <c r="G10" s="5">
        <f t="shared" si="0"/>
        <v>2.803508771929824</v>
      </c>
      <c r="H10" s="5">
        <v>1.4618556</v>
      </c>
      <c r="I10" s="5">
        <f t="shared" si="1"/>
        <v>52.143785481852319</v>
      </c>
      <c r="J10" s="5">
        <f t="shared" si="2"/>
        <v>13.03594637046308</v>
      </c>
      <c r="K10" s="5">
        <v>0.92874429999999997</v>
      </c>
      <c r="L10" s="5">
        <f t="shared" si="3"/>
        <v>57.401299798017611</v>
      </c>
    </row>
    <row r="11" spans="2:12" ht="18.75" x14ac:dyDescent="0.25">
      <c r="B11" s="3">
        <v>8</v>
      </c>
      <c r="C11" s="3" t="s">
        <v>20</v>
      </c>
      <c r="D11" s="3" t="s">
        <v>21</v>
      </c>
      <c r="E11" s="3">
        <v>1119</v>
      </c>
      <c r="F11" s="5">
        <v>13.778947368421051</v>
      </c>
      <c r="G11" s="5">
        <f t="shared" si="0"/>
        <v>3.4447368421052627</v>
      </c>
      <c r="H11" s="5">
        <v>2.8681913999999997</v>
      </c>
      <c r="I11" s="5">
        <f t="shared" si="1"/>
        <v>83.263004736440038</v>
      </c>
      <c r="J11" s="5">
        <f t="shared" si="2"/>
        <v>20.81575118411001</v>
      </c>
      <c r="K11" s="5">
        <v>1.8371213</v>
      </c>
      <c r="L11" s="5">
        <f t="shared" si="3"/>
        <v>56.124225439006118</v>
      </c>
    </row>
    <row r="12" spans="2:12" ht="18.75" x14ac:dyDescent="0.25">
      <c r="B12" s="3">
        <v>9</v>
      </c>
      <c r="C12" s="3" t="s">
        <v>10</v>
      </c>
      <c r="D12" s="3" t="s">
        <v>11</v>
      </c>
      <c r="E12" s="3">
        <v>884</v>
      </c>
      <c r="F12" s="5">
        <v>9.0399999999999991</v>
      </c>
      <c r="G12" s="5">
        <f t="shared" si="0"/>
        <v>2.2599999999999998</v>
      </c>
      <c r="H12" s="5">
        <v>3.0863838000000001</v>
      </c>
      <c r="I12" s="5">
        <f t="shared" si="1"/>
        <v>136.56565486725665</v>
      </c>
      <c r="J12" s="5">
        <f t="shared" si="2"/>
        <v>34.141413716814164</v>
      </c>
      <c r="K12" s="5">
        <v>2.4518059000000001</v>
      </c>
      <c r="L12" s="5">
        <f t="shared" si="3"/>
        <v>25.882061055485671</v>
      </c>
    </row>
    <row r="13" spans="2:12" ht="18.75" x14ac:dyDescent="0.25">
      <c r="B13" s="3">
        <v>10</v>
      </c>
      <c r="C13" s="3" t="s">
        <v>10</v>
      </c>
      <c r="D13" s="3" t="s">
        <v>26</v>
      </c>
      <c r="E13" s="3">
        <v>709</v>
      </c>
      <c r="F13" s="5">
        <v>7.72</v>
      </c>
      <c r="G13" s="5">
        <f t="shared" si="0"/>
        <v>1.93</v>
      </c>
      <c r="H13" s="5">
        <v>2.0391357000000001</v>
      </c>
      <c r="I13" s="5">
        <f t="shared" si="1"/>
        <v>105.65469948186529</v>
      </c>
      <c r="J13" s="5">
        <f t="shared" si="2"/>
        <v>26.413674870466323</v>
      </c>
      <c r="K13" s="5">
        <v>1.7113541999999999</v>
      </c>
      <c r="L13" s="5">
        <f t="shared" si="3"/>
        <v>19.153340670213108</v>
      </c>
    </row>
    <row r="14" spans="2:12" ht="18.75" x14ac:dyDescent="0.25">
      <c r="B14" s="3">
        <v>11</v>
      </c>
      <c r="C14" s="3" t="s">
        <v>10</v>
      </c>
      <c r="D14" s="3" t="s">
        <v>30</v>
      </c>
      <c r="E14" s="3">
        <v>572</v>
      </c>
      <c r="F14" s="5">
        <v>7.15</v>
      </c>
      <c r="G14" s="5">
        <f t="shared" si="0"/>
        <v>1.7875000000000001</v>
      </c>
      <c r="H14" s="5">
        <v>2.4988805999999997</v>
      </c>
      <c r="I14" s="5">
        <f t="shared" si="1"/>
        <v>139.79751608391607</v>
      </c>
      <c r="J14" s="5">
        <f t="shared" si="2"/>
        <v>34.949379020979016</v>
      </c>
      <c r="K14" s="5">
        <v>2.0556057999999999</v>
      </c>
      <c r="L14" s="5">
        <f t="shared" si="3"/>
        <v>21.56419290118756</v>
      </c>
    </row>
    <row r="15" spans="2:12" ht="18.75" x14ac:dyDescent="0.25">
      <c r="B15" s="3">
        <v>12</v>
      </c>
      <c r="C15" s="3" t="s">
        <v>10</v>
      </c>
      <c r="D15" s="3" t="s">
        <v>37</v>
      </c>
      <c r="E15" s="3">
        <v>622</v>
      </c>
      <c r="F15" s="5">
        <v>9.5500000000000007</v>
      </c>
      <c r="G15" s="5">
        <f t="shared" si="0"/>
        <v>2.3875000000000002</v>
      </c>
      <c r="H15" s="5">
        <v>1.483349</v>
      </c>
      <c r="I15" s="5">
        <f t="shared" si="1"/>
        <v>62.129801047120417</v>
      </c>
      <c r="J15" s="5">
        <f t="shared" si="2"/>
        <v>15.532450261780104</v>
      </c>
      <c r="K15" s="5">
        <v>0.89291019999999999</v>
      </c>
      <c r="L15" s="5">
        <f t="shared" si="3"/>
        <v>66.125216175154009</v>
      </c>
    </row>
    <row r="16" spans="2:12" ht="18.75" x14ac:dyDescent="0.25">
      <c r="B16" s="3">
        <v>13</v>
      </c>
      <c r="C16" s="3" t="s">
        <v>10</v>
      </c>
      <c r="D16" s="3" t="s">
        <v>14</v>
      </c>
      <c r="E16" s="3">
        <v>575</v>
      </c>
      <c r="F16" s="5">
        <v>5.94</v>
      </c>
      <c r="G16" s="5">
        <f t="shared" si="0"/>
        <v>1.4850000000000001</v>
      </c>
      <c r="H16" s="5">
        <v>0.92231160000000001</v>
      </c>
      <c r="I16" s="5">
        <f t="shared" si="1"/>
        <v>62.108525252525247</v>
      </c>
      <c r="J16" s="5">
        <f t="shared" si="2"/>
        <v>15.527131313131312</v>
      </c>
      <c r="K16" s="5">
        <v>0.84789550000000002</v>
      </c>
      <c r="L16" s="5">
        <f t="shared" si="3"/>
        <v>8.7765650366112311</v>
      </c>
    </row>
    <row r="17" spans="2:12" ht="18.75" x14ac:dyDescent="0.25">
      <c r="B17" s="3">
        <v>14</v>
      </c>
      <c r="C17" s="3" t="s">
        <v>10</v>
      </c>
      <c r="D17" s="3" t="s">
        <v>27</v>
      </c>
      <c r="E17" s="3">
        <v>557</v>
      </c>
      <c r="F17" s="5">
        <v>6.1</v>
      </c>
      <c r="G17" s="5">
        <f t="shared" si="0"/>
        <v>1.5249999999999999</v>
      </c>
      <c r="H17" s="5">
        <v>1.6669589</v>
      </c>
      <c r="I17" s="5">
        <f t="shared" si="1"/>
        <v>109.30878032786886</v>
      </c>
      <c r="J17" s="5">
        <f t="shared" si="2"/>
        <v>27.327195081967215</v>
      </c>
      <c r="K17" s="5">
        <v>1.1605763</v>
      </c>
      <c r="L17" s="5">
        <f t="shared" si="3"/>
        <v>43.63199558702</v>
      </c>
    </row>
    <row r="18" spans="2:12" ht="18.75" x14ac:dyDescent="0.25">
      <c r="B18" s="3">
        <v>15</v>
      </c>
      <c r="C18" s="3" t="s">
        <v>10</v>
      </c>
      <c r="D18" s="3" t="s">
        <v>39</v>
      </c>
      <c r="E18" s="3">
        <v>888</v>
      </c>
      <c r="F18" s="5">
        <v>12.8</v>
      </c>
      <c r="G18" s="5">
        <f t="shared" si="0"/>
        <v>3.2</v>
      </c>
      <c r="H18" s="5">
        <v>2.1721822</v>
      </c>
      <c r="I18" s="5">
        <f t="shared" si="1"/>
        <v>67.880693749999992</v>
      </c>
      <c r="J18" s="5">
        <f t="shared" si="2"/>
        <v>16.970173437499998</v>
      </c>
      <c r="K18" s="5">
        <v>1.4860272000000001</v>
      </c>
      <c r="L18" s="5">
        <f t="shared" si="3"/>
        <v>46.173784705959605</v>
      </c>
    </row>
    <row r="19" spans="2:12" ht="18.75" x14ac:dyDescent="0.25">
      <c r="B19" s="3">
        <v>16</v>
      </c>
      <c r="C19" s="3" t="s">
        <v>10</v>
      </c>
      <c r="D19" s="3" t="s">
        <v>28</v>
      </c>
      <c r="E19" s="3">
        <v>948</v>
      </c>
      <c r="F19" s="5">
        <v>12.64</v>
      </c>
      <c r="G19" s="5">
        <f t="shared" si="0"/>
        <v>3.16</v>
      </c>
      <c r="H19" s="5">
        <v>2.8243396000000001</v>
      </c>
      <c r="I19" s="5">
        <f t="shared" si="1"/>
        <v>89.377835443037966</v>
      </c>
      <c r="J19" s="5">
        <f t="shared" si="2"/>
        <v>22.344458860759492</v>
      </c>
      <c r="K19" s="5">
        <v>1.6419463999999999</v>
      </c>
      <c r="L19" s="5">
        <f t="shared" si="3"/>
        <v>72.011680771065372</v>
      </c>
    </row>
    <row r="20" spans="2:12" ht="18.75" x14ac:dyDescent="0.25">
      <c r="B20" s="3">
        <v>17</v>
      </c>
      <c r="C20" s="3" t="s">
        <v>10</v>
      </c>
      <c r="D20" s="3" t="s">
        <v>34</v>
      </c>
      <c r="E20" s="3">
        <v>996</v>
      </c>
      <c r="F20" s="5">
        <v>12.78</v>
      </c>
      <c r="G20" s="5">
        <f t="shared" si="0"/>
        <v>3.1949999999999998</v>
      </c>
      <c r="H20" s="5">
        <v>2.3413060000000003</v>
      </c>
      <c r="I20" s="5">
        <f t="shared" si="1"/>
        <v>73.280312989045399</v>
      </c>
      <c r="J20" s="5">
        <f t="shared" si="2"/>
        <v>18.32007824726135</v>
      </c>
      <c r="K20" s="5">
        <v>1.6128224</v>
      </c>
      <c r="L20" s="5">
        <f t="shared" si="3"/>
        <v>45.168246671177208</v>
      </c>
    </row>
    <row r="21" spans="2:12" ht="18.75" x14ac:dyDescent="0.25">
      <c r="B21" s="3">
        <v>18</v>
      </c>
      <c r="C21" s="3" t="s">
        <v>10</v>
      </c>
      <c r="D21" s="3" t="s">
        <v>35</v>
      </c>
      <c r="E21" s="3">
        <v>987</v>
      </c>
      <c r="F21" s="5">
        <v>12.91</v>
      </c>
      <c r="G21" s="5">
        <f t="shared" si="0"/>
        <v>3.2275</v>
      </c>
      <c r="H21" s="5">
        <v>1.8812907000000001</v>
      </c>
      <c r="I21" s="5">
        <f t="shared" si="1"/>
        <v>58.289409759876065</v>
      </c>
      <c r="J21" s="5">
        <f t="shared" si="2"/>
        <v>14.572352439969016</v>
      </c>
      <c r="K21" s="5">
        <v>1.5541147</v>
      </c>
      <c r="L21" s="5">
        <f t="shared" si="3"/>
        <v>21.052242797780636</v>
      </c>
    </row>
    <row r="22" spans="2:12" ht="18.75" x14ac:dyDescent="0.25">
      <c r="B22" s="3">
        <v>19</v>
      </c>
      <c r="C22" s="3" t="s">
        <v>10</v>
      </c>
      <c r="D22" s="3" t="s">
        <v>17</v>
      </c>
      <c r="E22" s="3">
        <v>528</v>
      </c>
      <c r="F22" s="5">
        <v>6.76</v>
      </c>
      <c r="G22" s="5">
        <f t="shared" si="0"/>
        <v>1.69</v>
      </c>
      <c r="H22" s="5">
        <v>1.7400894999999998</v>
      </c>
      <c r="I22" s="5">
        <f t="shared" si="1"/>
        <v>102.96387573964496</v>
      </c>
      <c r="J22" s="5">
        <f t="shared" si="2"/>
        <v>25.74096893491124</v>
      </c>
      <c r="K22" s="5">
        <v>1.090571</v>
      </c>
      <c r="L22" s="5">
        <f t="shared" si="3"/>
        <v>59.557653742855798</v>
      </c>
    </row>
    <row r="23" spans="2:12" ht="18.75" x14ac:dyDescent="0.25">
      <c r="B23" s="3">
        <v>20</v>
      </c>
      <c r="C23" s="3" t="s">
        <v>10</v>
      </c>
      <c r="D23" s="3" t="s">
        <v>19</v>
      </c>
      <c r="E23" s="3">
        <v>725</v>
      </c>
      <c r="F23" s="5">
        <v>8.2200000000000006</v>
      </c>
      <c r="G23" s="5">
        <f t="shared" si="0"/>
        <v>2.0550000000000002</v>
      </c>
      <c r="H23" s="5">
        <v>1.5729084000000002</v>
      </c>
      <c r="I23" s="5">
        <f t="shared" si="1"/>
        <v>76.540554744525551</v>
      </c>
      <c r="J23" s="5">
        <f t="shared" si="2"/>
        <v>19.135138686131388</v>
      </c>
      <c r="K23" s="5">
        <v>1.3380502000000001</v>
      </c>
      <c r="L23" s="5">
        <f t="shared" si="3"/>
        <v>17.552271207761869</v>
      </c>
    </row>
    <row r="24" spans="2:12" ht="18.75" x14ac:dyDescent="0.25">
      <c r="B24" s="3">
        <v>21</v>
      </c>
      <c r="C24" s="3" t="s">
        <v>10</v>
      </c>
      <c r="D24" s="3" t="s">
        <v>12</v>
      </c>
      <c r="E24" s="3">
        <v>1005</v>
      </c>
      <c r="F24" s="5">
        <v>11.39</v>
      </c>
      <c r="G24" s="5">
        <f t="shared" si="0"/>
        <v>2.8475000000000001</v>
      </c>
      <c r="H24" s="5">
        <v>3.0965588999999998</v>
      </c>
      <c r="I24" s="5">
        <f t="shared" si="1"/>
        <v>108.74658121158912</v>
      </c>
      <c r="J24" s="5">
        <f t="shared" si="2"/>
        <v>27.186645302897279</v>
      </c>
      <c r="K24" s="5">
        <v>2.2917931</v>
      </c>
      <c r="L24" s="5">
        <f t="shared" si="3"/>
        <v>35.115115758049875</v>
      </c>
    </row>
    <row r="25" spans="2:12" ht="18.75" x14ac:dyDescent="0.25">
      <c r="B25" s="3">
        <v>22</v>
      </c>
      <c r="C25" s="3" t="s">
        <v>8</v>
      </c>
      <c r="D25" s="4" t="s">
        <v>25</v>
      </c>
      <c r="E25" s="4">
        <v>589</v>
      </c>
      <c r="F25" s="5">
        <v>10</v>
      </c>
      <c r="G25" s="5">
        <f t="shared" si="0"/>
        <v>2.5</v>
      </c>
      <c r="H25" s="5">
        <v>1.7995225000000001</v>
      </c>
      <c r="I25" s="5">
        <f t="shared" si="1"/>
        <v>71.980900000000005</v>
      </c>
      <c r="J25" s="5">
        <f t="shared" si="2"/>
        <v>17.995225000000001</v>
      </c>
      <c r="K25" s="5">
        <v>1.3444111000000001</v>
      </c>
      <c r="L25" s="5">
        <f t="shared" si="3"/>
        <v>33.852100745077159</v>
      </c>
    </row>
    <row r="26" spans="2:12" ht="18.75" x14ac:dyDescent="0.25">
      <c r="B26" s="3">
        <v>23</v>
      </c>
      <c r="C26" s="3" t="s">
        <v>8</v>
      </c>
      <c r="D26" s="4" t="s">
        <v>18</v>
      </c>
      <c r="E26" s="4">
        <v>1054</v>
      </c>
      <c r="F26" s="5">
        <v>11</v>
      </c>
      <c r="G26" s="5">
        <f t="shared" si="0"/>
        <v>2.75</v>
      </c>
      <c r="H26" s="5">
        <v>2.4052600000000002</v>
      </c>
      <c r="I26" s="5">
        <f t="shared" si="1"/>
        <v>87.464000000000013</v>
      </c>
      <c r="J26" s="5">
        <f t="shared" si="2"/>
        <v>21.866000000000003</v>
      </c>
      <c r="K26" s="5">
        <v>1.6917945999999999</v>
      </c>
      <c r="L26" s="5">
        <f t="shared" si="3"/>
        <v>42.172105289850215</v>
      </c>
    </row>
    <row r="27" spans="2:12" ht="18.75" x14ac:dyDescent="0.25">
      <c r="B27" s="3">
        <v>24</v>
      </c>
      <c r="C27" s="3" t="s">
        <v>8</v>
      </c>
      <c r="D27" s="4" t="s">
        <v>15</v>
      </c>
      <c r="E27" s="4">
        <v>724</v>
      </c>
      <c r="F27" s="5">
        <v>8</v>
      </c>
      <c r="G27" s="5">
        <f t="shared" si="0"/>
        <v>2</v>
      </c>
      <c r="H27" s="5">
        <v>1.6188387</v>
      </c>
      <c r="I27" s="5">
        <f t="shared" si="1"/>
        <v>80.941935000000001</v>
      </c>
      <c r="J27" s="5">
        <f t="shared" si="2"/>
        <v>20.23548375</v>
      </c>
      <c r="K27" s="5">
        <v>1.1012469</v>
      </c>
      <c r="L27" s="5">
        <f t="shared" si="3"/>
        <v>47.000522771051607</v>
      </c>
    </row>
    <row r="28" spans="2:12" ht="18.75" x14ac:dyDescent="0.25">
      <c r="B28" s="3">
        <v>25</v>
      </c>
      <c r="C28" s="3" t="s">
        <v>8</v>
      </c>
      <c r="D28" s="4" t="s">
        <v>24</v>
      </c>
      <c r="E28" s="4">
        <v>759</v>
      </c>
      <c r="F28" s="5">
        <v>17</v>
      </c>
      <c r="G28" s="5">
        <f t="shared" si="0"/>
        <v>4.25</v>
      </c>
      <c r="H28" s="5">
        <v>3.4631512000000004</v>
      </c>
      <c r="I28" s="5">
        <f t="shared" si="1"/>
        <v>81.485910588235299</v>
      </c>
      <c r="J28" s="5">
        <f t="shared" si="2"/>
        <v>20.371477647058825</v>
      </c>
      <c r="K28" s="5">
        <v>2.4182815999999998</v>
      </c>
      <c r="L28" s="5">
        <f t="shared" si="3"/>
        <v>43.207110371265308</v>
      </c>
    </row>
    <row r="29" spans="2:12" ht="18.75" x14ac:dyDescent="0.25">
      <c r="B29" s="3">
        <v>26</v>
      </c>
      <c r="C29" s="3" t="s">
        <v>8</v>
      </c>
      <c r="D29" s="4" t="s">
        <v>16</v>
      </c>
      <c r="E29" s="4">
        <v>887</v>
      </c>
      <c r="F29" s="5">
        <v>11</v>
      </c>
      <c r="G29" s="5">
        <f t="shared" si="0"/>
        <v>2.75</v>
      </c>
      <c r="H29" s="5">
        <v>2.1668268999999998</v>
      </c>
      <c r="I29" s="5">
        <f t="shared" si="1"/>
        <v>78.793705454545446</v>
      </c>
      <c r="J29" s="5">
        <f t="shared" si="2"/>
        <v>19.698426363636361</v>
      </c>
      <c r="K29" s="5">
        <v>1.5172641</v>
      </c>
      <c r="L29" s="5">
        <f t="shared" si="3"/>
        <v>42.811452534861907</v>
      </c>
    </row>
    <row r="30" spans="2:12" ht="18.75" x14ac:dyDescent="0.25">
      <c r="B30" s="3">
        <v>27</v>
      </c>
      <c r="C30" s="3" t="s">
        <v>8</v>
      </c>
      <c r="D30" s="4" t="s">
        <v>9</v>
      </c>
      <c r="E30" s="4">
        <v>1181</v>
      </c>
      <c r="F30" s="5">
        <v>24</v>
      </c>
      <c r="G30" s="5">
        <f t="shared" si="0"/>
        <v>6</v>
      </c>
      <c r="H30" s="5">
        <v>5.4129122000000001</v>
      </c>
      <c r="I30" s="5">
        <f t="shared" si="1"/>
        <v>90.215203333333335</v>
      </c>
      <c r="J30" s="5">
        <f t="shared" si="2"/>
        <v>22.553800833333334</v>
      </c>
      <c r="K30" s="5">
        <v>4.1238602000000002</v>
      </c>
      <c r="L30" s="5">
        <f t="shared" si="3"/>
        <v>31.258382619275014</v>
      </c>
    </row>
    <row r="31" spans="2:12" ht="18.75" x14ac:dyDescent="0.25">
      <c r="B31" s="3">
        <v>28</v>
      </c>
      <c r="C31" s="3" t="s">
        <v>8</v>
      </c>
      <c r="D31" s="4" t="s">
        <v>13</v>
      </c>
      <c r="E31" s="4">
        <v>858</v>
      </c>
      <c r="F31" s="5">
        <v>3</v>
      </c>
      <c r="G31" s="5">
        <f t="shared" si="0"/>
        <v>0.75</v>
      </c>
      <c r="H31" s="5">
        <v>0.62587130000000002</v>
      </c>
      <c r="I31" s="5">
        <f t="shared" si="1"/>
        <v>83.449506666666679</v>
      </c>
      <c r="J31" s="5">
        <f t="shared" si="2"/>
        <v>20.86237666666667</v>
      </c>
      <c r="K31" s="5">
        <v>0.44504110000000002</v>
      </c>
      <c r="L31" s="5">
        <f t="shared" si="3"/>
        <v>40.632247223908081</v>
      </c>
    </row>
    <row r="32" spans="2:12" ht="18.75" x14ac:dyDescent="0.25">
      <c r="B32" s="3">
        <v>29</v>
      </c>
      <c r="C32" s="3" t="s">
        <v>8</v>
      </c>
      <c r="D32" s="4" t="s">
        <v>22</v>
      </c>
      <c r="E32" s="4">
        <v>735</v>
      </c>
      <c r="F32" s="5">
        <v>9</v>
      </c>
      <c r="G32" s="5">
        <f t="shared" si="0"/>
        <v>2.25</v>
      </c>
      <c r="H32" s="5">
        <v>1.8280364</v>
      </c>
      <c r="I32" s="5">
        <f t="shared" si="1"/>
        <v>81.246062222222221</v>
      </c>
      <c r="J32" s="5">
        <f t="shared" si="2"/>
        <v>20.311515555555555</v>
      </c>
      <c r="K32" s="5">
        <v>1.6773321999999999</v>
      </c>
      <c r="L32" s="5">
        <f t="shared" si="3"/>
        <v>8.9847556733245852</v>
      </c>
    </row>
    <row r="33" spans="2:12" ht="30.75" customHeight="1" x14ac:dyDescent="0.25">
      <c r="B33" s="23" t="s">
        <v>40</v>
      </c>
      <c r="C33" s="23"/>
      <c r="D33" s="23"/>
      <c r="E33" s="1">
        <v>23865</v>
      </c>
      <c r="F33" s="6">
        <v>318</v>
      </c>
      <c r="G33" s="6">
        <f t="shared" si="0"/>
        <v>79.5</v>
      </c>
      <c r="H33" s="6">
        <v>65.803934800000007</v>
      </c>
      <c r="I33" s="12">
        <f t="shared" si="1"/>
        <v>82.772245031446545</v>
      </c>
      <c r="J33" s="6">
        <f t="shared" si="2"/>
        <v>20.693061257861636</v>
      </c>
      <c r="K33" s="6">
        <f>SUM(K4:K32)</f>
        <v>46.639199400000003</v>
      </c>
      <c r="L33" s="12">
        <f>(H33-K33)/K33*100</f>
        <v>41.091475939872169</v>
      </c>
    </row>
    <row r="34" spans="2:12" x14ac:dyDescent="0.25">
      <c r="D34" s="7"/>
      <c r="E34" s="8"/>
      <c r="F34" s="11"/>
      <c r="G34" s="8"/>
      <c r="H34" s="8"/>
      <c r="I34" s="8"/>
      <c r="J34" s="8"/>
      <c r="K34" s="8"/>
      <c r="L34" s="8"/>
    </row>
    <row r="35" spans="2:12" ht="90.75" customHeight="1" x14ac:dyDescent="0.25">
      <c r="D35" s="1" t="s">
        <v>1</v>
      </c>
      <c r="E35" s="2" t="s">
        <v>3</v>
      </c>
      <c r="F35" s="2" t="s">
        <v>4</v>
      </c>
      <c r="G35" s="2" t="s">
        <v>45</v>
      </c>
      <c r="H35" s="2" t="s">
        <v>43</v>
      </c>
      <c r="I35" s="2" t="s">
        <v>5</v>
      </c>
      <c r="J35" s="2" t="s">
        <v>6</v>
      </c>
      <c r="K35" s="2" t="s">
        <v>44</v>
      </c>
      <c r="L35" s="2" t="s">
        <v>7</v>
      </c>
    </row>
    <row r="36" spans="2:12" ht="18.75" x14ac:dyDescent="0.25">
      <c r="D36" s="3" t="s">
        <v>20</v>
      </c>
      <c r="E36" s="3">
        <v>7082</v>
      </c>
      <c r="F36" s="9">
        <v>102</v>
      </c>
      <c r="G36" s="9">
        <f>F36/12*3</f>
        <v>25.5</v>
      </c>
      <c r="H36" s="9">
        <v>19.16</v>
      </c>
      <c r="I36" s="9">
        <f>H36/G36*100</f>
        <v>75.137254901960787</v>
      </c>
      <c r="J36" s="9">
        <f>H36/F36*100</f>
        <v>18.784313725490197</v>
      </c>
      <c r="K36" s="9">
        <v>12.1844947</v>
      </c>
      <c r="L36" s="9">
        <f>(H36-K36)/K36*100</f>
        <v>57.249032247517007</v>
      </c>
    </row>
    <row r="37" spans="2:12" ht="18.75" x14ac:dyDescent="0.25">
      <c r="D37" s="3" t="s">
        <v>10</v>
      </c>
      <c r="E37" s="3">
        <v>9996</v>
      </c>
      <c r="F37" s="9">
        <v>123</v>
      </c>
      <c r="G37" s="9">
        <f t="shared" ref="G37:G39" si="4">F37/12*3</f>
        <v>30.75</v>
      </c>
      <c r="H37" s="9">
        <v>27.32</v>
      </c>
      <c r="I37" s="9">
        <f t="shared" ref="I37:I39" si="5">H37/G37*100</f>
        <v>88.845528455284551</v>
      </c>
      <c r="J37" s="9">
        <f t="shared" ref="J37:J39" si="6">H37/F37*100</f>
        <v>22.211382113821138</v>
      </c>
      <c r="K37" s="9">
        <v>20.1354729</v>
      </c>
      <c r="L37" s="9">
        <f t="shared" ref="L37:L39" si="7">(H37-K37)/K37*100</f>
        <v>35.680945442309429</v>
      </c>
    </row>
    <row r="38" spans="2:12" ht="18.75" x14ac:dyDescent="0.25">
      <c r="D38" s="3" t="s">
        <v>8</v>
      </c>
      <c r="E38" s="3">
        <v>6787</v>
      </c>
      <c r="F38" s="9">
        <v>93</v>
      </c>
      <c r="G38" s="9">
        <f t="shared" si="4"/>
        <v>23.25</v>
      </c>
      <c r="H38" s="9">
        <v>19.32</v>
      </c>
      <c r="I38" s="9">
        <f t="shared" si="5"/>
        <v>83.096774193548384</v>
      </c>
      <c r="J38" s="9">
        <f t="shared" si="6"/>
        <v>20.774193548387096</v>
      </c>
      <c r="K38" s="9">
        <v>14.319231800000001</v>
      </c>
      <c r="L38" s="9">
        <f t="shared" si="7"/>
        <v>34.923439119129277</v>
      </c>
    </row>
    <row r="39" spans="2:12" ht="32.25" customHeight="1" x14ac:dyDescent="0.25">
      <c r="D39" s="1" t="s">
        <v>41</v>
      </c>
      <c r="E39" s="1">
        <v>23865</v>
      </c>
      <c r="F39" s="6">
        <v>318</v>
      </c>
      <c r="G39" s="6">
        <f t="shared" si="4"/>
        <v>79.5</v>
      </c>
      <c r="H39" s="6">
        <v>65.800000000000011</v>
      </c>
      <c r="I39" s="13">
        <f t="shared" si="5"/>
        <v>82.767295597484292</v>
      </c>
      <c r="J39" s="10">
        <f t="shared" si="6"/>
        <v>20.691823899371073</v>
      </c>
      <c r="K39" s="10">
        <f>SUM(K36:K38)</f>
        <v>46.639199399999995</v>
      </c>
      <c r="L39" s="13">
        <f t="shared" si="7"/>
        <v>41.083039259889219</v>
      </c>
    </row>
  </sheetData>
  <mergeCells count="2">
    <mergeCell ref="B2:L2"/>
    <mergeCell ref="B33:D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PLI (2)</vt:lpstr>
      <vt:lpstr>PLI</vt:lpstr>
      <vt:lpstr>RPLI (2)</vt:lpstr>
      <vt:lpstr>RPLI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2026-07-02T12:40:36Z</cp:lastPrinted>
  <dcterms:created xsi:type="dcterms:W3CDTF">2026-06-03T05:53:00Z</dcterms:created>
  <dcterms:modified xsi:type="dcterms:W3CDTF">2026-07-03T11:35:32Z</dcterms:modified>
</cp:coreProperties>
</file>